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xin007/WebstormProjects/phd-studies/Year 1/Сучасні пошукові інформаційні системи та їх застосування у науковій та професійній діяльності/"/>
    </mc:Choice>
  </mc:AlternateContent>
  <xr:revisionPtr revIDLastSave="0" documentId="13_ncr:1_{96146CDE-3D2E-6347-AA5B-A7FD80D0600B}" xr6:coauthVersionLast="47" xr6:coauthVersionMax="47" xr10:uidLastSave="{00000000-0000-0000-0000-000000000000}"/>
  <bookViews>
    <workbookView xWindow="0" yWindow="880" windowWidth="41120" windowHeight="24720" activeTab="3" xr2:uid="{CC069074-15B1-CF4A-B7B8-81EBB559B5A6}"/>
  </bookViews>
  <sheets>
    <sheet name="Sheet1" sheetId="1" r:id="rId1"/>
    <sheet name="Парна лінійна регресія" sheetId="2" r:id="rId2"/>
    <sheet name="Множинна лінійна регресія" sheetId="3" r:id="rId3"/>
    <sheet name="Дисперсійний аналіз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3" l="1"/>
  <c r="I25" i="3"/>
  <c r="I24" i="3"/>
  <c r="H24" i="3"/>
  <c r="G24" i="3"/>
  <c r="G25" i="3" s="1"/>
  <c r="H22" i="3"/>
  <c r="I22" i="3"/>
  <c r="G2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" i="3"/>
  <c r="F2" i="3" a="1"/>
  <c r="F2" i="3" s="1"/>
  <c r="C37" i="3"/>
  <c r="B37" i="3"/>
  <c r="A37" i="3"/>
  <c r="C35" i="3"/>
  <c r="B35" i="3"/>
  <c r="C34" i="3"/>
  <c r="B34" i="3"/>
  <c r="B33" i="3"/>
  <c r="C33" i="3"/>
  <c r="B32" i="3"/>
  <c r="B31" i="3"/>
  <c r="B26" i="3" a="1"/>
  <c r="B26" i="3" s="1"/>
  <c r="D24" i="3"/>
  <c r="C24" i="3"/>
  <c r="D22" i="3"/>
  <c r="B36" i="2"/>
  <c r="B35" i="2"/>
  <c r="C34" i="2"/>
  <c r="B34" i="2"/>
  <c r="C33" i="2"/>
  <c r="B33" i="2"/>
  <c r="G25" i="2"/>
  <c r="H25" i="2"/>
  <c r="F25" i="2"/>
  <c r="H24" i="2"/>
  <c r="G24" i="2"/>
  <c r="F24" i="2"/>
  <c r="H22" i="2"/>
  <c r="G22" i="2"/>
  <c r="F22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3" i="2"/>
  <c r="D2" i="2"/>
  <c r="B32" i="2"/>
  <c r="B31" i="2"/>
  <c r="C24" i="2"/>
  <c r="B24" i="2"/>
  <c r="C22" i="2"/>
  <c r="B26" i="2" a="1"/>
  <c r="B26" i="2" s="1"/>
  <c r="M15" i="1"/>
  <c r="M16" i="1" s="1"/>
  <c r="P3" i="1"/>
  <c r="P4" i="1"/>
  <c r="P9" i="1"/>
  <c r="P10" i="1"/>
  <c r="P11" i="1"/>
  <c r="P12" i="1"/>
  <c r="P13" i="1"/>
  <c r="P14" i="1"/>
  <c r="P2" i="1"/>
  <c r="O3" i="1"/>
  <c r="O15" i="1" s="1"/>
  <c r="O4" i="1"/>
  <c r="O5" i="1"/>
  <c r="P5" i="1" s="1"/>
  <c r="O6" i="1"/>
  <c r="P6" i="1" s="1"/>
  <c r="O7" i="1"/>
  <c r="P7" i="1" s="1"/>
  <c r="O8" i="1"/>
  <c r="P8" i="1" s="1"/>
  <c r="O9" i="1"/>
  <c r="O10" i="1"/>
  <c r="O11" i="1"/>
  <c r="O12" i="1"/>
  <c r="O13" i="1"/>
  <c r="O14" i="1"/>
  <c r="O2" i="1"/>
  <c r="J16" i="1"/>
  <c r="J13" i="1"/>
  <c r="J14" i="1" s="1"/>
  <c r="J12" i="1"/>
  <c r="J17" i="1" s="1"/>
  <c r="B23" i="1"/>
  <c r="B18" i="1"/>
  <c r="B17" i="1"/>
  <c r="B21" i="1" s="1"/>
  <c r="B22" i="1" s="1"/>
  <c r="C16" i="1"/>
  <c r="B20" i="1" s="1"/>
  <c r="B16" i="1"/>
  <c r="C15" i="1"/>
  <c r="B15" i="1"/>
  <c r="E11" i="3" l="1"/>
  <c r="E14" i="3"/>
  <c r="E15" i="3"/>
  <c r="E16" i="3"/>
  <c r="E17" i="3"/>
  <c r="E5" i="3"/>
  <c r="E6" i="3"/>
  <c r="E21" i="3"/>
  <c r="E12" i="3"/>
  <c r="B24" i="3"/>
  <c r="E2" i="3"/>
  <c r="E3" i="3"/>
  <c r="E18" i="3"/>
  <c r="E20" i="3"/>
  <c r="E9" i="3"/>
  <c r="E13" i="3"/>
  <c r="E4" i="3"/>
  <c r="E19" i="3"/>
  <c r="E7" i="3"/>
  <c r="E8" i="3"/>
  <c r="E10" i="3"/>
  <c r="P15" i="1"/>
  <c r="M17" i="1" s="1"/>
  <c r="B1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<sst xmlns="http://schemas.openxmlformats.org/spreadsheetml/2006/main" count="156" uniqueCount="101">
  <si>
    <t>N_virobu</t>
  </si>
  <si>
    <t>St_tehn</t>
  </si>
  <si>
    <t>Nov_tehn</t>
  </si>
  <si>
    <t>Sr_vitr</t>
  </si>
  <si>
    <t>Disp_sr_v</t>
  </si>
  <si>
    <t>F</t>
  </si>
  <si>
    <t>F_kr</t>
  </si>
  <si>
    <t>df_1</t>
  </si>
  <si>
    <t>df_2</t>
  </si>
  <si>
    <t>df</t>
  </si>
  <si>
    <t>t_kr</t>
  </si>
  <si>
    <t>t_st</t>
  </si>
  <si>
    <t>Proba</t>
  </si>
  <si>
    <t>%_kons</t>
  </si>
  <si>
    <t>Sr_zn</t>
  </si>
  <si>
    <t>A</t>
  </si>
  <si>
    <t>Disp_%</t>
  </si>
  <si>
    <t>Stud</t>
  </si>
  <si>
    <t>Do_tr</t>
  </si>
  <si>
    <t>Pisl_tr</t>
  </si>
  <si>
    <t>X-Y</t>
  </si>
  <si>
    <t>X-Y_Kv</t>
  </si>
  <si>
    <t>Sum_X_Y</t>
  </si>
  <si>
    <t>Парный двухвыборочный t-тест для средних</t>
  </si>
  <si>
    <t>Переменная 1</t>
  </si>
  <si>
    <t>Переменная 2</t>
  </si>
  <si>
    <t>Среднее</t>
  </si>
  <si>
    <t>Дисперсия</t>
  </si>
  <si>
    <t>Наблюдения</t>
  </si>
  <si>
    <t>Корреляция Пирсона</t>
  </si>
  <si>
    <t>Гипотетическая разность средних</t>
  </si>
  <si>
    <t>t-статистика</t>
  </si>
  <si>
    <t>P(T&lt;=t) одностороннее</t>
  </si>
  <si>
    <t>t критическое одностороннее</t>
  </si>
  <si>
    <t>P(T&lt;=t) двухстороннее</t>
  </si>
  <si>
    <t>t критическое двухстороннее</t>
  </si>
  <si>
    <t>Двухвыборочный t-тест с одинаковыми дисперсиями</t>
  </si>
  <si>
    <t>Объединенная дисперсия</t>
  </si>
  <si>
    <t>Зарплата_Ж</t>
  </si>
  <si>
    <t>Зарплата_Ч</t>
  </si>
  <si>
    <t>Двухвыборочный t-тест с различными дисперсиями</t>
  </si>
  <si>
    <t>Витрати (X)</t>
  </si>
  <si>
    <t>Прибуток (Y)</t>
  </si>
  <si>
    <t>a1</t>
  </si>
  <si>
    <t>a0</t>
  </si>
  <si>
    <t>№</t>
  </si>
  <si>
    <t>Y_sr</t>
  </si>
  <si>
    <t>t_a1</t>
  </si>
  <si>
    <t>t_a2</t>
  </si>
  <si>
    <t>Y_t</t>
  </si>
  <si>
    <t>Y_tp</t>
  </si>
  <si>
    <t>(Y-Y_sr)_kv</t>
  </si>
  <si>
    <t>(Y_tp-Y_sr)_kv</t>
  </si>
  <si>
    <t>(Y-Y_tp)_kv</t>
  </si>
  <si>
    <t>SQ=</t>
  </si>
  <si>
    <t>загальна SQ_y</t>
  </si>
  <si>
    <t>факторна SQ_fakt</t>
  </si>
  <si>
    <t>залишів SQ_zal</t>
  </si>
  <si>
    <t>Df=</t>
  </si>
  <si>
    <t>Disp=</t>
  </si>
  <si>
    <t>Нижня та верхня межа довірчих інтервалів для а1</t>
  </si>
  <si>
    <t>Нижня та верхня межа довірчих інтервалів для а2</t>
  </si>
  <si>
    <t>r=</t>
  </si>
  <si>
    <t>t_r=</t>
  </si>
  <si>
    <t>Коефіцієнт кореляції</t>
  </si>
  <si>
    <t>Розподіл стьюдента з n-2 степ. Вільності</t>
  </si>
  <si>
    <t>Витрати (X1)</t>
  </si>
  <si>
    <t>Кількість авто (X2)</t>
  </si>
  <si>
    <t>Y_sr=</t>
  </si>
  <si>
    <t>t_a0</t>
  </si>
  <si>
    <t>a2</t>
  </si>
  <si>
    <t>ai=</t>
  </si>
  <si>
    <t>Sa=</t>
  </si>
  <si>
    <t>R_kv=</t>
  </si>
  <si>
    <t>F=</t>
  </si>
  <si>
    <t>t_kr=</t>
  </si>
  <si>
    <t>F_kr=</t>
  </si>
  <si>
    <t>x1_pr</t>
  </si>
  <si>
    <t>x2_pr</t>
  </si>
  <si>
    <t>Y_pr</t>
  </si>
  <si>
    <t>Нижня та верхня межа довірчих інтервалів для a2</t>
  </si>
  <si>
    <t>Нижня та верхня межа довірчих інтервалів для a1</t>
  </si>
  <si>
    <t>Нижня та верхня межа довірчих інтервалів для a0</t>
  </si>
  <si>
    <t>залишків SQ_zal</t>
  </si>
  <si>
    <t>Добриво_1</t>
  </si>
  <si>
    <t>Добриво_2</t>
  </si>
  <si>
    <t>Добриво_3</t>
  </si>
  <si>
    <t>Однофакторный дисперсионный анализ</t>
  </si>
  <si>
    <t>ИТОГИ</t>
  </si>
  <si>
    <t>Группы</t>
  </si>
  <si>
    <t>Счет</t>
  </si>
  <si>
    <t>Сумма</t>
  </si>
  <si>
    <t>Дисперсионный анализ</t>
  </si>
  <si>
    <t>Источник вариации</t>
  </si>
  <si>
    <t>SS</t>
  </si>
  <si>
    <t>MS</t>
  </si>
  <si>
    <t>P-Значение</t>
  </si>
  <si>
    <t>F критическое</t>
  </si>
  <si>
    <t>Между группами</t>
  </si>
  <si>
    <t>Внутри групп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</si>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</sst>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i/>
      <sz val="12"/>
      <color theme="1"/>
      <name val="Aptos Narrow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i/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5" fillId="0" borderId="2" xfId="0" applyFont="1" applyFill="1" applyBorder="1" applyAlignment="1">
      <alignment horizontal="center"/>
    </xf>
    <xf numFmtId="0" fontId="6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'Парна лінійна регресія'!$C$1</c:f>
              <c:strCache>
                <c:ptCount val="1"/>
                <c:pt idx="0">
                  <c:v>Прибуток (Y)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757655293088364"/>
                  <c:y val="-7.8375619714202388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UA"/>
                </a:p>
              </c:txPr>
            </c:trendlineLbl>
          </c:trendline>
          <c:xVal>
            <c:numRef>
              <c:f>'Парна лінійна регресія'!$B$2:$B$21</c:f>
              <c:numCache>
                <c:formatCode>General</c:formatCode>
                <c:ptCount val="20"/>
                <c:pt idx="0">
                  <c:v>10.5</c:v>
                </c:pt>
                <c:pt idx="1">
                  <c:v>11</c:v>
                </c:pt>
                <c:pt idx="2">
                  <c:v>12.5</c:v>
                </c:pt>
                <c:pt idx="3">
                  <c:v>13</c:v>
                </c:pt>
                <c:pt idx="4">
                  <c:v>14.2</c:v>
                </c:pt>
                <c:pt idx="5">
                  <c:v>15.5</c:v>
                </c:pt>
                <c:pt idx="6">
                  <c:v>16</c:v>
                </c:pt>
                <c:pt idx="7">
                  <c:v>17.5</c:v>
                </c:pt>
                <c:pt idx="8">
                  <c:v>18.2</c:v>
                </c:pt>
                <c:pt idx="9">
                  <c:v>19</c:v>
                </c:pt>
                <c:pt idx="10">
                  <c:v>20.5</c:v>
                </c:pt>
                <c:pt idx="11">
                  <c:v>21.2</c:v>
                </c:pt>
                <c:pt idx="12">
                  <c:v>22.8</c:v>
                </c:pt>
                <c:pt idx="13">
                  <c:v>23.5</c:v>
                </c:pt>
                <c:pt idx="14">
                  <c:v>24</c:v>
                </c:pt>
                <c:pt idx="15">
                  <c:v>25.5</c:v>
                </c:pt>
                <c:pt idx="16">
                  <c:v>26.2</c:v>
                </c:pt>
                <c:pt idx="17">
                  <c:v>27.5</c:v>
                </c:pt>
                <c:pt idx="18">
                  <c:v>28</c:v>
                </c:pt>
                <c:pt idx="19">
                  <c:v>29.5</c:v>
                </c:pt>
              </c:numCache>
            </c:numRef>
          </c:xVal>
          <c:yVal>
            <c:numRef>
              <c:f>'Парна лінійна регресія'!$C$2:$C$21</c:f>
              <c:numCache>
                <c:formatCode>General</c:formatCode>
                <c:ptCount val="20"/>
                <c:pt idx="0">
                  <c:v>100.2</c:v>
                </c:pt>
                <c:pt idx="1">
                  <c:v>105.5</c:v>
                </c:pt>
                <c:pt idx="2">
                  <c:v>110.8</c:v>
                </c:pt>
                <c:pt idx="3">
                  <c:v>112</c:v>
                </c:pt>
                <c:pt idx="4">
                  <c:v>118.5</c:v>
                </c:pt>
                <c:pt idx="5">
                  <c:v>124</c:v>
                </c:pt>
                <c:pt idx="6">
                  <c:v>128.19999999999999</c:v>
                </c:pt>
                <c:pt idx="7">
                  <c:v>135.5</c:v>
                </c:pt>
                <c:pt idx="8">
                  <c:v>138</c:v>
                </c:pt>
                <c:pt idx="9">
                  <c:v>145.19999999999999</c:v>
                </c:pt>
                <c:pt idx="10">
                  <c:v>148.5</c:v>
                </c:pt>
                <c:pt idx="11">
                  <c:v>152</c:v>
                </c:pt>
                <c:pt idx="12">
                  <c:v>158.5</c:v>
                </c:pt>
                <c:pt idx="13">
                  <c:v>164</c:v>
                </c:pt>
                <c:pt idx="14">
                  <c:v>168.2</c:v>
                </c:pt>
                <c:pt idx="15">
                  <c:v>175.5</c:v>
                </c:pt>
                <c:pt idx="16">
                  <c:v>178</c:v>
                </c:pt>
                <c:pt idx="17">
                  <c:v>185.2</c:v>
                </c:pt>
                <c:pt idx="18">
                  <c:v>188.5</c:v>
                </c:pt>
                <c:pt idx="19">
                  <c:v>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E1-0241-8D46-B83F52D0F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489279"/>
        <c:axId val="1719681152"/>
      </c:scatterChart>
      <c:valAx>
        <c:axId val="103489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1719681152"/>
        <c:crosses val="autoZero"/>
        <c:crossBetween val="midCat"/>
      </c:valAx>
      <c:valAx>
        <c:axId val="171968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103489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81643</xdr:colOff>
      <xdr:row>36</xdr:row>
      <xdr:rowOff>140365</xdr:rowOff>
    </xdr:from>
    <xdr:to>
      <xdr:col>4</xdr:col>
      <xdr:colOff>579012</xdr:colOff>
      <xdr:row>50</xdr:row>
      <xdr:rowOff>89752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95540D0-FC14-DF4B-80DE-BFE9CA9D65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7EC65-FA17-7B4B-A59B-324CCA928B8A}">
  <dimension ref="A1:Z155"/>
  <sheetViews>
    <sheetView topLeftCell="M1" zoomScale="108" workbookViewId="0">
      <selection activeCell="V29" sqref="V29"/>
    </sheetView>
  </sheetViews>
  <sheetFormatPr baseColWidth="10" defaultColWidth="11.6640625" defaultRowHeight="16" outlineLevelCol="1" x14ac:dyDescent="0.2"/>
  <cols>
    <col min="1" max="1" width="29.83203125" style="4" customWidth="1"/>
    <col min="2" max="2" width="15.5" style="4" customWidth="1"/>
    <col min="3" max="3" width="15" style="4" customWidth="1"/>
    <col min="4" max="8" width="2.33203125" style="4" customWidth="1"/>
    <col min="9" max="16" width="11.6640625" style="4"/>
    <col min="17" max="17" width="11.6640625" style="4" outlineLevel="1"/>
    <col min="18" max="18" width="38.33203125" style="4" customWidth="1"/>
    <col min="19" max="20" width="14.33203125" style="4" customWidth="1"/>
    <col min="21" max="21" width="11.6640625" style="4"/>
    <col min="22" max="22" width="15.1640625" style="4" customWidth="1"/>
    <col min="23" max="23" width="17" style="4" customWidth="1"/>
    <col min="24" max="25" width="11.83203125" style="4" customWidth="1"/>
    <col min="26" max="16384" width="11.6640625" style="4"/>
  </cols>
  <sheetData>
    <row r="1" spans="1:26" x14ac:dyDescent="0.2">
      <c r="A1" s="3" t="s">
        <v>0</v>
      </c>
      <c r="B1" s="3" t="s">
        <v>1</v>
      </c>
      <c r="C1" s="3" t="s">
        <v>2</v>
      </c>
      <c r="I1" s="1" t="s">
        <v>12</v>
      </c>
      <c r="J1" s="1" t="s">
        <v>13</v>
      </c>
      <c r="L1" s="1" t="s">
        <v>17</v>
      </c>
      <c r="M1" s="1" t="s">
        <v>18</v>
      </c>
      <c r="N1" s="1" t="s">
        <v>19</v>
      </c>
      <c r="O1" s="4" t="s">
        <v>20</v>
      </c>
      <c r="P1" s="4" t="s">
        <v>21</v>
      </c>
      <c r="R1" t="s">
        <v>23</v>
      </c>
      <c r="S1"/>
      <c r="T1"/>
      <c r="V1" s="1" t="s">
        <v>39</v>
      </c>
      <c r="W1" s="1" t="s">
        <v>38</v>
      </c>
      <c r="X1" t="s">
        <v>40</v>
      </c>
      <c r="Y1"/>
      <c r="Z1"/>
    </row>
    <row r="2" spans="1:26" s="5" customFormat="1" ht="17" thickBot="1" x14ac:dyDescent="0.25">
      <c r="A2" s="7">
        <v>1</v>
      </c>
      <c r="B2" s="7">
        <v>308</v>
      </c>
      <c r="C2" s="7">
        <v>308</v>
      </c>
      <c r="I2" s="2">
        <v>1</v>
      </c>
      <c r="J2" s="2">
        <v>3.95</v>
      </c>
      <c r="L2" s="2">
        <v>1</v>
      </c>
      <c r="M2" s="2">
        <v>145</v>
      </c>
      <c r="N2" s="2">
        <v>160</v>
      </c>
      <c r="O2" s="5">
        <f>M2-N2</f>
        <v>-15</v>
      </c>
      <c r="P2" s="5">
        <f>O2*O2</f>
        <v>225</v>
      </c>
      <c r="R2"/>
      <c r="S2"/>
      <c r="T2"/>
      <c r="V2" s="2">
        <v>15200</v>
      </c>
      <c r="W2" s="2">
        <v>13500</v>
      </c>
      <c r="X2"/>
      <c r="Y2"/>
      <c r="Z2"/>
    </row>
    <row r="3" spans="1:26" x14ac:dyDescent="0.2">
      <c r="A3" s="7">
        <v>2</v>
      </c>
      <c r="B3" s="7">
        <v>308</v>
      </c>
      <c r="C3" s="7">
        <v>304</v>
      </c>
      <c r="I3" s="2">
        <v>2</v>
      </c>
      <c r="J3" s="2">
        <v>4.0199999999999996</v>
      </c>
      <c r="L3" s="2">
        <v>2</v>
      </c>
      <c r="M3" s="2">
        <v>150</v>
      </c>
      <c r="N3" s="2">
        <v>172</v>
      </c>
      <c r="O3" s="5">
        <f t="shared" ref="O3:O14" si="0">M3-N3</f>
        <v>-22</v>
      </c>
      <c r="P3" s="5">
        <f t="shared" ref="P3:P15" si="1">O3*O3</f>
        <v>484</v>
      </c>
      <c r="R3"/>
      <c r="S3" t="s">
        <v>24</v>
      </c>
      <c r="T3" t="s">
        <v>25</v>
      </c>
      <c r="V3" s="2">
        <v>14800</v>
      </c>
      <c r="W3" s="2">
        <v>13200</v>
      </c>
      <c r="X3" s="10"/>
      <c r="Y3" s="10" t="s">
        <v>24</v>
      </c>
      <c r="Z3" s="10" t="s">
        <v>25</v>
      </c>
    </row>
    <row r="4" spans="1:26" x14ac:dyDescent="0.2">
      <c r="A4" s="7">
        <v>3</v>
      </c>
      <c r="B4" s="7">
        <v>307</v>
      </c>
      <c r="C4" s="7">
        <v>306</v>
      </c>
      <c r="I4" s="2">
        <v>3</v>
      </c>
      <c r="J4" s="2">
        <v>3.98</v>
      </c>
      <c r="L4" s="2">
        <v>3</v>
      </c>
      <c r="M4" s="2">
        <v>138</v>
      </c>
      <c r="N4" s="2">
        <v>155</v>
      </c>
      <c r="O4" s="5">
        <f t="shared" si="0"/>
        <v>-17</v>
      </c>
      <c r="P4" s="5">
        <f t="shared" si="1"/>
        <v>289</v>
      </c>
      <c r="R4" t="s">
        <v>26</v>
      </c>
      <c r="S4">
        <v>148.76923076923077</v>
      </c>
      <c r="T4">
        <v>165.76923076923077</v>
      </c>
      <c r="V4" s="2">
        <v>16500</v>
      </c>
      <c r="W4" s="2">
        <v>13800</v>
      </c>
      <c r="X4" s="8" t="s">
        <v>26</v>
      </c>
      <c r="Y4" s="8">
        <v>15548.611111111111</v>
      </c>
      <c r="Z4" s="8">
        <v>13367.5</v>
      </c>
    </row>
    <row r="5" spans="1:26" x14ac:dyDescent="0.2">
      <c r="A5" s="7">
        <v>4</v>
      </c>
      <c r="B5" s="7">
        <v>308</v>
      </c>
      <c r="C5" s="7">
        <v>306</v>
      </c>
      <c r="I5" s="2">
        <v>4</v>
      </c>
      <c r="J5" s="2">
        <v>4.05</v>
      </c>
      <c r="L5" s="2">
        <v>4</v>
      </c>
      <c r="M5" s="2">
        <v>162</v>
      </c>
      <c r="N5" s="2">
        <v>175</v>
      </c>
      <c r="O5" s="5">
        <f t="shared" si="0"/>
        <v>-13</v>
      </c>
      <c r="P5" s="5">
        <f t="shared" si="1"/>
        <v>169</v>
      </c>
      <c r="R5" t="s">
        <v>27</v>
      </c>
      <c r="S5">
        <v>73.358974358974351</v>
      </c>
      <c r="T5">
        <v>80.858974358974365</v>
      </c>
      <c r="V5" s="2">
        <v>15900</v>
      </c>
      <c r="W5" s="2">
        <v>12900</v>
      </c>
      <c r="X5" s="8" t="s">
        <v>27</v>
      </c>
      <c r="Y5" s="8">
        <v>572498.01587301574</v>
      </c>
      <c r="Z5" s="8">
        <v>131993.58974358975</v>
      </c>
    </row>
    <row r="6" spans="1:26" x14ac:dyDescent="0.2">
      <c r="A6" s="7">
        <v>5</v>
      </c>
      <c r="B6" s="7">
        <v>304</v>
      </c>
      <c r="C6" s="7">
        <v>306</v>
      </c>
      <c r="I6" s="2">
        <v>5</v>
      </c>
      <c r="J6" s="2">
        <v>4</v>
      </c>
      <c r="L6" s="2">
        <v>5</v>
      </c>
      <c r="M6" s="2">
        <v>140</v>
      </c>
      <c r="N6" s="2">
        <v>158</v>
      </c>
      <c r="O6" s="5">
        <f t="shared" si="0"/>
        <v>-18</v>
      </c>
      <c r="P6" s="5">
        <f t="shared" si="1"/>
        <v>324</v>
      </c>
      <c r="R6" t="s">
        <v>28</v>
      </c>
      <c r="S6">
        <v>13</v>
      </c>
      <c r="T6">
        <v>13</v>
      </c>
      <c r="V6" s="2">
        <v>14200</v>
      </c>
      <c r="W6" s="2">
        <v>14000</v>
      </c>
      <c r="X6" s="8" t="s">
        <v>28</v>
      </c>
      <c r="Y6" s="8">
        <v>36</v>
      </c>
      <c r="Z6" s="8">
        <v>40</v>
      </c>
    </row>
    <row r="7" spans="1:26" x14ac:dyDescent="0.2">
      <c r="A7" s="7">
        <v>6</v>
      </c>
      <c r="B7" s="7">
        <v>307</v>
      </c>
      <c r="C7" s="7">
        <v>304</v>
      </c>
      <c r="I7" s="2">
        <v>6</v>
      </c>
      <c r="J7" s="2">
        <v>4.1100000000000003</v>
      </c>
      <c r="L7" s="2">
        <v>6</v>
      </c>
      <c r="M7" s="2">
        <v>155</v>
      </c>
      <c r="N7" s="2">
        <v>170</v>
      </c>
      <c r="O7" s="5">
        <f t="shared" si="0"/>
        <v>-15</v>
      </c>
      <c r="P7" s="5">
        <f t="shared" si="1"/>
        <v>225</v>
      </c>
      <c r="R7" t="s">
        <v>29</v>
      </c>
      <c r="S7">
        <v>0.94383856093987373</v>
      </c>
      <c r="T7"/>
      <c r="V7" s="2">
        <v>17000</v>
      </c>
      <c r="W7" s="2">
        <v>13100</v>
      </c>
      <c r="X7" s="8" t="s">
        <v>30</v>
      </c>
      <c r="Y7" s="8">
        <v>0</v>
      </c>
      <c r="Z7" s="8"/>
    </row>
    <row r="8" spans="1:26" x14ac:dyDescent="0.2">
      <c r="A8" s="7">
        <v>7</v>
      </c>
      <c r="B8" s="7">
        <v>307</v>
      </c>
      <c r="C8" s="7">
        <v>304</v>
      </c>
      <c r="I8" s="2">
        <v>7</v>
      </c>
      <c r="J8" s="2">
        <v>4.08</v>
      </c>
      <c r="L8" s="2">
        <v>7</v>
      </c>
      <c r="M8" s="2">
        <v>148</v>
      </c>
      <c r="N8" s="2">
        <v>168</v>
      </c>
      <c r="O8" s="5">
        <f t="shared" si="0"/>
        <v>-20</v>
      </c>
      <c r="P8" s="5">
        <f t="shared" si="1"/>
        <v>400</v>
      </c>
      <c r="R8" t="s">
        <v>30</v>
      </c>
      <c r="S8">
        <v>0</v>
      </c>
      <c r="T8"/>
      <c r="V8" s="2">
        <v>15500</v>
      </c>
      <c r="W8" s="2">
        <v>13600</v>
      </c>
      <c r="X8" s="8" t="s">
        <v>9</v>
      </c>
      <c r="Y8" s="8">
        <v>49</v>
      </c>
      <c r="Z8" s="8"/>
    </row>
    <row r="9" spans="1:26" x14ac:dyDescent="0.2">
      <c r="A9" s="7">
        <v>8</v>
      </c>
      <c r="B9" s="7">
        <v>308</v>
      </c>
      <c r="C9" s="7">
        <v>304</v>
      </c>
      <c r="I9" s="2">
        <v>8</v>
      </c>
      <c r="J9" s="2">
        <v>3.97</v>
      </c>
      <c r="L9" s="2">
        <v>8</v>
      </c>
      <c r="M9" s="2">
        <v>152</v>
      </c>
      <c r="N9" s="2">
        <v>165</v>
      </c>
      <c r="O9" s="5">
        <f t="shared" si="0"/>
        <v>-13</v>
      </c>
      <c r="P9" s="5">
        <f t="shared" si="1"/>
        <v>169</v>
      </c>
      <c r="R9" t="s">
        <v>9</v>
      </c>
      <c r="S9">
        <v>12</v>
      </c>
      <c r="T9"/>
      <c r="V9" s="2">
        <v>14900</v>
      </c>
      <c r="W9" s="2">
        <v>13300</v>
      </c>
      <c r="X9" s="8" t="s">
        <v>31</v>
      </c>
      <c r="Y9" s="8">
        <v>15.7397633201487</v>
      </c>
      <c r="Z9" s="8"/>
    </row>
    <row r="10" spans="1:26" x14ac:dyDescent="0.2">
      <c r="A10" s="7">
        <v>9</v>
      </c>
      <c r="B10" s="7">
        <v>307</v>
      </c>
      <c r="C10" s="7">
        <v>306</v>
      </c>
      <c r="I10" s="2">
        <v>9</v>
      </c>
      <c r="J10" s="2">
        <v>4.03</v>
      </c>
      <c r="L10" s="2">
        <v>9</v>
      </c>
      <c r="M10" s="2">
        <v>135</v>
      </c>
      <c r="N10" s="2">
        <v>150</v>
      </c>
      <c r="O10" s="5">
        <f t="shared" si="0"/>
        <v>-15</v>
      </c>
      <c r="P10" s="5">
        <f t="shared" si="1"/>
        <v>225</v>
      </c>
      <c r="R10" t="s">
        <v>31</v>
      </c>
      <c r="S10">
        <v>-20.623306105398839</v>
      </c>
      <c r="T10"/>
      <c r="V10" s="2">
        <v>16200</v>
      </c>
      <c r="W10" s="2">
        <v>13700</v>
      </c>
      <c r="X10" s="8" t="s">
        <v>32</v>
      </c>
      <c r="Y10" s="8">
        <v>4.2432804431958047E-21</v>
      </c>
      <c r="Z10" s="8"/>
    </row>
    <row r="11" spans="1:26" x14ac:dyDescent="0.2">
      <c r="A11" s="7">
        <v>10</v>
      </c>
      <c r="B11" s="7">
        <v>306</v>
      </c>
      <c r="C11" s="7">
        <v>304</v>
      </c>
      <c r="I11" s="2">
        <v>10</v>
      </c>
      <c r="J11" s="2">
        <v>4.0199999999999996</v>
      </c>
      <c r="L11" s="2">
        <v>10</v>
      </c>
      <c r="M11" s="2">
        <v>160</v>
      </c>
      <c r="N11" s="2">
        <v>182</v>
      </c>
      <c r="O11" s="5">
        <f t="shared" si="0"/>
        <v>-22</v>
      </c>
      <c r="P11" s="5">
        <f t="shared" si="1"/>
        <v>484</v>
      </c>
      <c r="R11" t="s">
        <v>32</v>
      </c>
      <c r="S11">
        <v>4.8723583225567902E-11</v>
      </c>
      <c r="T11"/>
      <c r="V11" s="2">
        <v>15800</v>
      </c>
      <c r="W11" s="2">
        <v>12800</v>
      </c>
      <c r="X11" s="8" t="s">
        <v>33</v>
      </c>
      <c r="Y11" s="8">
        <v>1.6765508926168529</v>
      </c>
      <c r="Z11" s="8"/>
    </row>
    <row r="12" spans="1:26" x14ac:dyDescent="0.2">
      <c r="A12" s="7">
        <v>11</v>
      </c>
      <c r="B12" s="7"/>
      <c r="C12" s="7">
        <v>303</v>
      </c>
      <c r="I12" s="4" t="s">
        <v>14</v>
      </c>
      <c r="J12" s="4">
        <f>AVERAGE(J2:J11)</f>
        <v>4.020999999999999</v>
      </c>
      <c r="L12" s="2">
        <v>11</v>
      </c>
      <c r="M12" s="2">
        <v>142</v>
      </c>
      <c r="N12" s="2">
        <v>160</v>
      </c>
      <c r="O12" s="5">
        <f t="shared" si="0"/>
        <v>-18</v>
      </c>
      <c r="P12" s="5">
        <f t="shared" si="1"/>
        <v>324</v>
      </c>
      <c r="R12" t="s">
        <v>33</v>
      </c>
      <c r="S12">
        <v>1.7822875556493194</v>
      </c>
      <c r="T12"/>
      <c r="V12" s="2">
        <v>15100</v>
      </c>
      <c r="W12" s="2">
        <v>13400</v>
      </c>
      <c r="X12" s="8" t="s">
        <v>34</v>
      </c>
      <c r="Y12" s="8">
        <v>8.4865608863916093E-21</v>
      </c>
      <c r="Z12" s="8"/>
    </row>
    <row r="13" spans="1:26" ht="17" thickBot="1" x14ac:dyDescent="0.25">
      <c r="A13" s="7">
        <v>12</v>
      </c>
      <c r="B13" s="7"/>
      <c r="C13" s="7">
        <v>304</v>
      </c>
      <c r="I13" s="4" t="s">
        <v>9</v>
      </c>
      <c r="J13" s="4">
        <f>COUNT(J2:J11)-1</f>
        <v>9</v>
      </c>
      <c r="L13" s="2">
        <v>12</v>
      </c>
      <c r="M13" s="2">
        <v>158</v>
      </c>
      <c r="N13" s="2">
        <v>174</v>
      </c>
      <c r="O13" s="5">
        <f t="shared" si="0"/>
        <v>-16</v>
      </c>
      <c r="P13" s="5">
        <f t="shared" si="1"/>
        <v>256</v>
      </c>
      <c r="R13" t="s">
        <v>34</v>
      </c>
      <c r="S13">
        <v>9.7447166451135804E-11</v>
      </c>
      <c r="T13"/>
      <c r="V13" s="2">
        <v>14700</v>
      </c>
      <c r="W13" s="2">
        <v>13900</v>
      </c>
      <c r="X13" s="9" t="s">
        <v>35</v>
      </c>
      <c r="Y13" s="9">
        <v>2.0095752371292388</v>
      </c>
      <c r="Z13" s="9"/>
    </row>
    <row r="14" spans="1:26" x14ac:dyDescent="0.2">
      <c r="A14" s="7">
        <v>13</v>
      </c>
      <c r="B14" s="7"/>
      <c r="C14" s="7">
        <v>303</v>
      </c>
      <c r="I14" s="4" t="s">
        <v>10</v>
      </c>
      <c r="J14" s="4">
        <f>TINV(0.025,J13)</f>
        <v>2.6850108468164544</v>
      </c>
      <c r="L14" s="2">
        <v>13</v>
      </c>
      <c r="M14" s="2">
        <v>149</v>
      </c>
      <c r="N14" s="2">
        <v>166</v>
      </c>
      <c r="O14" s="5">
        <f t="shared" si="0"/>
        <v>-17</v>
      </c>
      <c r="P14" s="5">
        <f t="shared" si="1"/>
        <v>289</v>
      </c>
      <c r="R14" t="s">
        <v>35</v>
      </c>
      <c r="S14">
        <v>2.1788128296672284</v>
      </c>
      <c r="T14"/>
      <c r="V14" s="2">
        <v>16300</v>
      </c>
      <c r="W14" s="2">
        <v>13000</v>
      </c>
    </row>
    <row r="15" spans="1:26" x14ac:dyDescent="0.2">
      <c r="A15" s="6" t="s">
        <v>3</v>
      </c>
      <c r="B15" s="4">
        <f>AVERAGE(B2:B11)</f>
        <v>307</v>
      </c>
      <c r="C15" s="4">
        <f>AVERAGE(C2:C14)</f>
        <v>304.76923076923077</v>
      </c>
      <c r="I15" s="4" t="s">
        <v>15</v>
      </c>
      <c r="J15" s="4">
        <v>4</v>
      </c>
      <c r="L15" s="4" t="s">
        <v>9</v>
      </c>
      <c r="M15" s="4">
        <f>COUNT(M2:M14)-1</f>
        <v>12</v>
      </c>
      <c r="N15" s="4" t="s">
        <v>22</v>
      </c>
      <c r="O15" s="4">
        <f>SUM(O2:O14)</f>
        <v>-221</v>
      </c>
      <c r="P15" s="4">
        <f>SUM(P2:P14)</f>
        <v>3863</v>
      </c>
      <c r="V15" s="2">
        <v>15600</v>
      </c>
      <c r="W15" s="2">
        <v>13250</v>
      </c>
    </row>
    <row r="16" spans="1:26" x14ac:dyDescent="0.2">
      <c r="A16" s="6" t="s">
        <v>4</v>
      </c>
      <c r="B16" s="4">
        <f>VAR(B2:B11)</f>
        <v>1.5555555555555556</v>
      </c>
      <c r="C16" s="4">
        <f>VAR(C2:C14)</f>
        <v>2.192307692307693</v>
      </c>
      <c r="I16" s="4" t="s">
        <v>16</v>
      </c>
      <c r="J16" s="4">
        <f>VAR(J2:J11)</f>
        <v>2.4544444444444466E-3</v>
      </c>
      <c r="L16" s="4" t="s">
        <v>10</v>
      </c>
      <c r="M16" s="4">
        <f>TINV(0.05,M15)</f>
        <v>2.1788128296672284</v>
      </c>
      <c r="V16" s="2">
        <v>14500</v>
      </c>
      <c r="W16" s="2">
        <v>13550</v>
      </c>
    </row>
    <row r="17" spans="1:23" x14ac:dyDescent="0.2">
      <c r="A17" s="6" t="s">
        <v>7</v>
      </c>
      <c r="B17" s="4">
        <f>COUNT(C2:C14)-1</f>
        <v>12</v>
      </c>
      <c r="I17" s="4" t="s">
        <v>11</v>
      </c>
      <c r="J17" s="4">
        <f>(J12-J15)*SQRT(10)/SQRT(J16)</f>
        <v>1.3404255319148306</v>
      </c>
      <c r="L17" s="4" t="s">
        <v>11</v>
      </c>
      <c r="M17" s="4">
        <f>(O15*SQRT(12))/SQRT(13*P15-(O15)*(O15))</f>
        <v>-20.623306105398843</v>
      </c>
      <c r="V17" s="2">
        <v>16800</v>
      </c>
      <c r="W17" s="2">
        <v>12950</v>
      </c>
    </row>
    <row r="18" spans="1:23" x14ac:dyDescent="0.2">
      <c r="A18" s="6" t="s">
        <v>8</v>
      </c>
      <c r="B18" s="4">
        <f>COUNT(B2:B11)-1</f>
        <v>9</v>
      </c>
      <c r="V18" s="2">
        <v>15400</v>
      </c>
      <c r="W18" s="2">
        <v>13850</v>
      </c>
    </row>
    <row r="19" spans="1:23" x14ac:dyDescent="0.2">
      <c r="A19" s="6" t="s">
        <v>6</v>
      </c>
      <c r="B19">
        <f>_xlfn.F.INV.RT(0.05, B17,B18)</f>
        <v>3.072947121878093</v>
      </c>
      <c r="V19" s="2">
        <v>15000</v>
      </c>
      <c r="W19" s="2">
        <v>13150</v>
      </c>
    </row>
    <row r="20" spans="1:23" x14ac:dyDescent="0.2">
      <c r="A20" s="6" t="s">
        <v>5</v>
      </c>
      <c r="B20" s="4">
        <f>C16/B16</f>
        <v>1.4093406593406597</v>
      </c>
      <c r="V20" s="2">
        <v>16100</v>
      </c>
      <c r="W20" s="2">
        <v>13650</v>
      </c>
    </row>
    <row r="21" spans="1:23" x14ac:dyDescent="0.2">
      <c r="A21" s="6" t="s">
        <v>9</v>
      </c>
      <c r="B21" s="4">
        <f>SUM(B17:B18)</f>
        <v>21</v>
      </c>
      <c r="V21" s="2">
        <v>15700</v>
      </c>
      <c r="W21" s="2">
        <v>13350</v>
      </c>
    </row>
    <row r="22" spans="1:23" x14ac:dyDescent="0.2">
      <c r="A22" s="6" t="s">
        <v>10</v>
      </c>
      <c r="B22" s="4">
        <f>_xlfn.T.INV.2T(0.05,B21)</f>
        <v>2.07961384472768</v>
      </c>
      <c r="V22" s="2">
        <v>15300</v>
      </c>
      <c r="W22" s="2">
        <v>12700</v>
      </c>
    </row>
    <row r="23" spans="1:23" x14ac:dyDescent="0.2">
      <c r="A23" s="6" t="s">
        <v>11</v>
      </c>
      <c r="B23" s="4">
        <f>(B15-C15) / SQRT(((9*B16 + 12*C16)/21) * (1/10 + 1/13))</f>
        <v>3.8280542493817529</v>
      </c>
      <c r="V23" s="2">
        <v>14600</v>
      </c>
      <c r="W23" s="2">
        <v>13450</v>
      </c>
    </row>
    <row r="24" spans="1:23" x14ac:dyDescent="0.2">
      <c r="V24" s="2">
        <v>16400</v>
      </c>
      <c r="W24" s="2">
        <v>13750</v>
      </c>
    </row>
    <row r="25" spans="1:23" x14ac:dyDescent="0.2">
      <c r="A25" t="s">
        <v>36</v>
      </c>
      <c r="B25"/>
      <c r="C25"/>
      <c r="V25" s="2">
        <v>15550</v>
      </c>
      <c r="W25" s="2">
        <v>13050</v>
      </c>
    </row>
    <row r="26" spans="1:23" ht="17" thickBot="1" x14ac:dyDescent="0.25">
      <c r="A26"/>
      <c r="B26"/>
      <c r="C26"/>
      <c r="V26" s="2">
        <v>14850</v>
      </c>
      <c r="W26" s="2">
        <v>13950</v>
      </c>
    </row>
    <row r="27" spans="1:23" x14ac:dyDescent="0.2">
      <c r="A27" s="10"/>
      <c r="B27" s="10" t="s">
        <v>24</v>
      </c>
      <c r="C27" s="10" t="s">
        <v>25</v>
      </c>
      <c r="V27" s="2">
        <v>16700</v>
      </c>
      <c r="W27" s="2">
        <v>12850</v>
      </c>
    </row>
    <row r="28" spans="1:23" x14ac:dyDescent="0.2">
      <c r="A28" s="8" t="s">
        <v>26</v>
      </c>
      <c r="B28" s="8">
        <v>307</v>
      </c>
      <c r="C28" s="8">
        <v>304.76923076923077</v>
      </c>
      <c r="V28" s="2">
        <v>15250</v>
      </c>
      <c r="W28" s="2">
        <v>13500</v>
      </c>
    </row>
    <row r="29" spans="1:23" x14ac:dyDescent="0.2">
      <c r="A29" s="8" t="s">
        <v>27</v>
      </c>
      <c r="B29" s="8">
        <v>1.5555555555555556</v>
      </c>
      <c r="C29" s="8">
        <v>2.192307692307693</v>
      </c>
      <c r="V29" s="2">
        <v>14950</v>
      </c>
      <c r="W29" s="2">
        <v>13300</v>
      </c>
    </row>
    <row r="30" spans="1:23" x14ac:dyDescent="0.2">
      <c r="A30" s="8" t="s">
        <v>28</v>
      </c>
      <c r="B30" s="8">
        <v>10</v>
      </c>
      <c r="C30" s="8">
        <v>13</v>
      </c>
      <c r="V30" s="2">
        <v>16000</v>
      </c>
      <c r="W30" s="2">
        <v>13800</v>
      </c>
    </row>
    <row r="31" spans="1:23" x14ac:dyDescent="0.2">
      <c r="A31" s="8" t="s">
        <v>37</v>
      </c>
      <c r="B31" s="8">
        <v>1.9194139194139197</v>
      </c>
      <c r="C31" s="8"/>
      <c r="V31" s="2">
        <v>15850</v>
      </c>
      <c r="W31" s="2">
        <v>13100</v>
      </c>
    </row>
    <row r="32" spans="1:23" x14ac:dyDescent="0.2">
      <c r="A32" s="8" t="s">
        <v>30</v>
      </c>
      <c r="B32" s="8">
        <v>0</v>
      </c>
      <c r="C32" s="8"/>
      <c r="V32" s="2">
        <v>15150</v>
      </c>
      <c r="W32" s="2">
        <v>13600</v>
      </c>
    </row>
    <row r="33" spans="1:23" x14ac:dyDescent="0.2">
      <c r="A33" s="8" t="s">
        <v>9</v>
      </c>
      <c r="B33" s="8">
        <v>21</v>
      </c>
      <c r="C33" s="8"/>
      <c r="V33" s="2">
        <v>14750</v>
      </c>
      <c r="W33" s="2">
        <v>12900</v>
      </c>
    </row>
    <row r="34" spans="1:23" x14ac:dyDescent="0.2">
      <c r="A34" s="8" t="s">
        <v>31</v>
      </c>
      <c r="B34" s="8">
        <v>3.8280542493817529</v>
      </c>
      <c r="C34" s="8"/>
      <c r="V34" s="2">
        <v>16250</v>
      </c>
      <c r="W34" s="2">
        <v>13400</v>
      </c>
    </row>
    <row r="35" spans="1:23" x14ac:dyDescent="0.2">
      <c r="A35" s="8" t="s">
        <v>32</v>
      </c>
      <c r="B35" s="8">
        <v>4.8965280355409905E-4</v>
      </c>
      <c r="C35" s="8"/>
      <c r="V35" s="2">
        <v>15650</v>
      </c>
      <c r="W35" s="2">
        <v>13700</v>
      </c>
    </row>
    <row r="36" spans="1:23" x14ac:dyDescent="0.2">
      <c r="A36" s="8" t="s">
        <v>33</v>
      </c>
      <c r="B36" s="8">
        <v>1.7207429028118781</v>
      </c>
      <c r="C36" s="8"/>
      <c r="V36" s="2">
        <v>14400</v>
      </c>
      <c r="W36" s="2">
        <v>13200</v>
      </c>
    </row>
    <row r="37" spans="1:23" x14ac:dyDescent="0.2">
      <c r="A37" s="8" t="s">
        <v>34</v>
      </c>
      <c r="B37" s="8">
        <v>9.7930560710819811E-4</v>
      </c>
      <c r="C37" s="8"/>
      <c r="V37" s="2">
        <v>16900</v>
      </c>
      <c r="W37" s="2">
        <v>13500</v>
      </c>
    </row>
    <row r="38" spans="1:23" ht="17" thickBot="1" x14ac:dyDescent="0.25">
      <c r="A38" s="9" t="s">
        <v>35</v>
      </c>
      <c r="B38" s="9">
        <v>2.07961384472768</v>
      </c>
      <c r="C38" s="9"/>
      <c r="V38" s="2"/>
      <c r="W38" s="2">
        <v>12750</v>
      </c>
    </row>
    <row r="39" spans="1:23" x14ac:dyDescent="0.2">
      <c r="V39" s="2"/>
      <c r="W39" s="2">
        <v>13850</v>
      </c>
    </row>
    <row r="40" spans="1:23" x14ac:dyDescent="0.2">
      <c r="V40" s="2"/>
      <c r="W40" s="2">
        <v>13050</v>
      </c>
    </row>
    <row r="41" spans="1:23" x14ac:dyDescent="0.2">
      <c r="V41" s="2"/>
      <c r="W41" s="2">
        <v>13350</v>
      </c>
    </row>
    <row r="155" spans="16:16" x14ac:dyDescent="0.2">
      <c r="P155" s="6"/>
    </row>
  </sheetData>
  <sortState xmlns:xlrd2="http://schemas.microsoft.com/office/spreadsheetml/2017/richdata2" ref="H5:H154">
    <sortCondition ref="H5:H15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73DB8-9286-1848-89EF-B8EEBF282C58}">
  <dimension ref="A1:H36"/>
  <sheetViews>
    <sheetView workbookViewId="0"/>
  </sheetViews>
  <sheetFormatPr baseColWidth="10" defaultColWidth="16.1640625" defaultRowHeight="16" x14ac:dyDescent="0.2"/>
  <cols>
    <col min="2" max="2" width="18.33203125" bestFit="1" customWidth="1"/>
    <col min="5" max="5" width="19.1640625" bestFit="1" customWidth="1"/>
  </cols>
  <sheetData>
    <row r="1" spans="1:8" x14ac:dyDescent="0.2">
      <c r="A1" t="s">
        <v>45</v>
      </c>
      <c r="B1" s="1" t="s">
        <v>41</v>
      </c>
      <c r="C1" s="1" t="s">
        <v>42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</row>
    <row r="2" spans="1:8" x14ac:dyDescent="0.2">
      <c r="A2">
        <v>1</v>
      </c>
      <c r="B2" s="2">
        <v>10.5</v>
      </c>
      <c r="C2" s="2">
        <v>100.2</v>
      </c>
      <c r="D2">
        <f>$C$26+$B$26*B2</f>
        <v>100.52515044433167</v>
      </c>
      <c r="E2">
        <f>FORECAST(B2,$C$2:$C$21,$B$2:$B$21)</f>
        <v>100.5251504443317</v>
      </c>
      <c r="F2">
        <f>(C2-$C$22)*(C2-$C$22)</f>
        <v>2149.7132249999995</v>
      </c>
      <c r="G2">
        <f>(E2-$C$22)*(E2-$C$22)</f>
        <v>2119.6677471085704</v>
      </c>
      <c r="H2">
        <f>(C2-E2)*(C2-E2)</f>
        <v>0.10572281144910031</v>
      </c>
    </row>
    <row r="3" spans="1:8" x14ac:dyDescent="0.2">
      <c r="A3">
        <v>2</v>
      </c>
      <c r="B3" s="2">
        <v>11</v>
      </c>
      <c r="C3" s="2">
        <v>105.5</v>
      </c>
      <c r="D3">
        <f>$C$26+$B$26*B3</f>
        <v>102.99908110288452</v>
      </c>
      <c r="E3">
        <f t="shared" ref="E3:E21" si="0">FORECAST(B3,$C$2:$C$21,$B$2:$B$21)</f>
        <v>102.99908110288453</v>
      </c>
      <c r="F3">
        <f t="shared" ref="F3:F21" si="1">(C3-$C$22)*(C3-$C$22)</f>
        <v>1686.3342249999998</v>
      </c>
      <c r="G3">
        <f t="shared" ref="G3:G21" si="2">(E3-$C$22)*(E3-$C$22)</f>
        <v>1897.9892893500426</v>
      </c>
      <c r="H3">
        <f t="shared" ref="H3:H21" si="3">(C3-E3)*(C3-E3)</f>
        <v>6.2545953299492512</v>
      </c>
    </row>
    <row r="4" spans="1:8" x14ac:dyDescent="0.2">
      <c r="A4">
        <v>3</v>
      </c>
      <c r="B4" s="2">
        <v>12.5</v>
      </c>
      <c r="C4" s="2">
        <v>110.8</v>
      </c>
      <c r="D4">
        <f t="shared" ref="D4:D21" si="4">$C$26+$B$26*B4</f>
        <v>110.42087307854302</v>
      </c>
      <c r="E4">
        <f t="shared" si="0"/>
        <v>110.42087307854305</v>
      </c>
      <c r="F4">
        <f t="shared" si="1"/>
        <v>1279.135225</v>
      </c>
      <c r="G4">
        <f t="shared" si="2"/>
        <v>1306.3979109143886</v>
      </c>
      <c r="H4">
        <f t="shared" si="3"/>
        <v>0.14373722257341973</v>
      </c>
    </row>
    <row r="5" spans="1:8" x14ac:dyDescent="0.2">
      <c r="A5">
        <v>4</v>
      </c>
      <c r="B5" s="2">
        <v>13</v>
      </c>
      <c r="C5" s="2">
        <v>112</v>
      </c>
      <c r="D5">
        <f t="shared" si="4"/>
        <v>112.89480373709587</v>
      </c>
      <c r="E5">
        <f t="shared" si="0"/>
        <v>112.89480373709588</v>
      </c>
      <c r="F5">
        <f t="shared" si="1"/>
        <v>1194.7392249999998</v>
      </c>
      <c r="G5">
        <f t="shared" si="2"/>
        <v>1133.682116382482</v>
      </c>
      <c r="H5">
        <f t="shared" si="3"/>
        <v>0.80067372792076053</v>
      </c>
    </row>
    <row r="6" spans="1:8" x14ac:dyDescent="0.2">
      <c r="A6">
        <v>5</v>
      </c>
      <c r="B6" s="2">
        <v>14.2</v>
      </c>
      <c r="C6" s="2">
        <v>118.5</v>
      </c>
      <c r="D6">
        <f t="shared" si="4"/>
        <v>118.83223731762268</v>
      </c>
      <c r="E6">
        <f t="shared" si="0"/>
        <v>118.8322373176227</v>
      </c>
      <c r="F6">
        <f t="shared" si="1"/>
        <v>787.64422499999989</v>
      </c>
      <c r="G6">
        <f t="shared" si="2"/>
        <v>769.10612599705894</v>
      </c>
      <c r="H6">
        <f t="shared" si="3"/>
        <v>0.11038163522112612</v>
      </c>
    </row>
    <row r="7" spans="1:8" x14ac:dyDescent="0.2">
      <c r="A7">
        <v>6</v>
      </c>
      <c r="B7" s="2">
        <v>15.5</v>
      </c>
      <c r="C7" s="2">
        <v>124</v>
      </c>
      <c r="D7">
        <f t="shared" si="4"/>
        <v>125.26445702986007</v>
      </c>
      <c r="E7">
        <f t="shared" si="0"/>
        <v>125.26445702986008</v>
      </c>
      <c r="F7">
        <f t="shared" si="1"/>
        <v>509.17922499999992</v>
      </c>
      <c r="G7">
        <f t="shared" si="2"/>
        <v>453.71313082277698</v>
      </c>
      <c r="H7">
        <f t="shared" si="3"/>
        <v>1.5988515803625818</v>
      </c>
    </row>
    <row r="8" spans="1:8" x14ac:dyDescent="0.2">
      <c r="A8">
        <v>7</v>
      </c>
      <c r="B8" s="2">
        <v>16</v>
      </c>
      <c r="C8" s="2">
        <v>128.19999999999999</v>
      </c>
      <c r="D8">
        <f t="shared" si="4"/>
        <v>127.7383876884129</v>
      </c>
      <c r="E8">
        <f t="shared" si="0"/>
        <v>127.73838768841291</v>
      </c>
      <c r="F8">
        <f t="shared" si="1"/>
        <v>337.27322500000031</v>
      </c>
      <c r="G8">
        <f t="shared" si="2"/>
        <v>354.44133113080238</v>
      </c>
      <c r="H8">
        <f t="shared" si="3"/>
        <v>0.21308592620876277</v>
      </c>
    </row>
    <row r="9" spans="1:8" x14ac:dyDescent="0.2">
      <c r="A9">
        <v>8</v>
      </c>
      <c r="B9" s="2">
        <v>17.5</v>
      </c>
      <c r="C9" s="2">
        <v>135.5</v>
      </c>
      <c r="D9">
        <f t="shared" si="4"/>
        <v>135.16017966407142</v>
      </c>
      <c r="E9">
        <f t="shared" si="0"/>
        <v>135.16017966407142</v>
      </c>
      <c r="F9">
        <f t="shared" si="1"/>
        <v>122.43422499999996</v>
      </c>
      <c r="G9">
        <f t="shared" si="2"/>
        <v>130.06992689481001</v>
      </c>
      <c r="H9">
        <f t="shared" si="3"/>
        <v>0.1154778607106121</v>
      </c>
    </row>
    <row r="10" spans="1:8" x14ac:dyDescent="0.2">
      <c r="A10">
        <v>9</v>
      </c>
      <c r="B10" s="2">
        <v>18.2</v>
      </c>
      <c r="C10" s="2">
        <v>138</v>
      </c>
      <c r="D10">
        <f t="shared" si="4"/>
        <v>138.62368258604539</v>
      </c>
      <c r="E10">
        <f t="shared" si="0"/>
        <v>138.62368258604539</v>
      </c>
      <c r="F10">
        <f t="shared" si="1"/>
        <v>73.359224999999967</v>
      </c>
      <c r="G10">
        <f t="shared" si="2"/>
        <v>63.064522269178688</v>
      </c>
      <c r="H10">
        <f t="shared" si="3"/>
        <v>0.38897996813626595</v>
      </c>
    </row>
    <row r="11" spans="1:8" x14ac:dyDescent="0.2">
      <c r="A11">
        <v>10</v>
      </c>
      <c r="B11" s="2">
        <v>19</v>
      </c>
      <c r="C11" s="2">
        <v>145.19999999999999</v>
      </c>
      <c r="D11">
        <f t="shared" si="4"/>
        <v>142.58197163972994</v>
      </c>
      <c r="E11">
        <f t="shared" si="0"/>
        <v>142.58197163972994</v>
      </c>
      <c r="F11">
        <f t="shared" si="1"/>
        <v>1.8632250000000248</v>
      </c>
      <c r="G11">
        <f t="shared" si="2"/>
        <v>15.86451491871556</v>
      </c>
      <c r="H11">
        <f t="shared" si="3"/>
        <v>6.8540724951782632</v>
      </c>
    </row>
    <row r="12" spans="1:8" x14ac:dyDescent="0.2">
      <c r="A12">
        <v>11</v>
      </c>
      <c r="B12" s="2">
        <v>20.5</v>
      </c>
      <c r="C12" s="2">
        <v>148.5</v>
      </c>
      <c r="D12">
        <f t="shared" si="4"/>
        <v>150.00376361538844</v>
      </c>
      <c r="E12">
        <f t="shared" si="0"/>
        <v>150.00376361538844</v>
      </c>
      <c r="F12">
        <f t="shared" si="1"/>
        <v>3.744225000000009</v>
      </c>
      <c r="G12">
        <f t="shared" si="2"/>
        <v>11.825095202519366</v>
      </c>
      <c r="H12">
        <f t="shared" si="3"/>
        <v>2.261305010966101</v>
      </c>
    </row>
    <row r="13" spans="1:8" x14ac:dyDescent="0.2">
      <c r="A13">
        <v>12</v>
      </c>
      <c r="B13" s="2">
        <v>21.2</v>
      </c>
      <c r="C13" s="2">
        <v>152</v>
      </c>
      <c r="D13">
        <f t="shared" si="4"/>
        <v>153.46726653736243</v>
      </c>
      <c r="E13">
        <f t="shared" si="0"/>
        <v>153.46726653736243</v>
      </c>
      <c r="F13">
        <f t="shared" si="1"/>
        <v>29.539225000000023</v>
      </c>
      <c r="G13">
        <f t="shared" si="2"/>
        <v>47.641283352793238</v>
      </c>
      <c r="H13">
        <f t="shared" si="3"/>
        <v>2.1528710916635472</v>
      </c>
    </row>
    <row r="14" spans="1:8" x14ac:dyDescent="0.2">
      <c r="A14">
        <v>13</v>
      </c>
      <c r="B14" s="2">
        <v>22.8</v>
      </c>
      <c r="C14" s="2">
        <v>158.5</v>
      </c>
      <c r="D14">
        <f t="shared" si="4"/>
        <v>161.38384464473148</v>
      </c>
      <c r="E14">
        <f t="shared" si="0"/>
        <v>161.38384464473151</v>
      </c>
      <c r="F14">
        <f t="shared" si="1"/>
        <v>142.44422500000005</v>
      </c>
      <c r="G14">
        <f t="shared" si="2"/>
        <v>219.59815660468783</v>
      </c>
      <c r="H14">
        <f t="shared" si="3"/>
        <v>8.3165599349466124</v>
      </c>
    </row>
    <row r="15" spans="1:8" x14ac:dyDescent="0.2">
      <c r="A15">
        <v>14</v>
      </c>
      <c r="B15" s="2">
        <v>23.5</v>
      </c>
      <c r="C15" s="2">
        <v>164</v>
      </c>
      <c r="D15">
        <f t="shared" si="4"/>
        <v>164.84734756670548</v>
      </c>
      <c r="E15">
        <f t="shared" si="0"/>
        <v>164.84734756670548</v>
      </c>
      <c r="F15">
        <f t="shared" si="1"/>
        <v>303.9792250000001</v>
      </c>
      <c r="G15">
        <f t="shared" si="2"/>
        <v>334.24423254982185</v>
      </c>
      <c r="H15">
        <f t="shared" si="3"/>
        <v>0.71799789880169784</v>
      </c>
    </row>
    <row r="16" spans="1:8" x14ac:dyDescent="0.2">
      <c r="A16">
        <v>15</v>
      </c>
      <c r="B16" s="2">
        <v>24</v>
      </c>
      <c r="C16" s="2">
        <v>168.2</v>
      </c>
      <c r="D16">
        <f t="shared" si="4"/>
        <v>167.32127822525831</v>
      </c>
      <c r="E16">
        <f t="shared" si="0"/>
        <v>167.32127822525831</v>
      </c>
      <c r="F16">
        <f t="shared" si="1"/>
        <v>468.07322499999958</v>
      </c>
      <c r="G16">
        <f t="shared" si="2"/>
        <v>430.8230857643324</v>
      </c>
      <c r="H16">
        <f t="shared" si="3"/>
        <v>0.77215195740516351</v>
      </c>
    </row>
    <row r="17" spans="1:8" x14ac:dyDescent="0.2">
      <c r="A17">
        <v>16</v>
      </c>
      <c r="B17" s="2">
        <v>25.5</v>
      </c>
      <c r="C17" s="2">
        <v>175.5</v>
      </c>
      <c r="D17">
        <f t="shared" si="4"/>
        <v>174.74307020091683</v>
      </c>
      <c r="E17">
        <f t="shared" si="0"/>
        <v>174.7430702009168</v>
      </c>
      <c r="F17">
        <f t="shared" si="1"/>
        <v>837.23422500000015</v>
      </c>
      <c r="G17">
        <f t="shared" si="2"/>
        <v>794.00364024779572</v>
      </c>
      <c r="H17">
        <f t="shared" si="3"/>
        <v>0.57294272074012687</v>
      </c>
    </row>
    <row r="18" spans="1:8" x14ac:dyDescent="0.2">
      <c r="A18">
        <v>17</v>
      </c>
      <c r="B18" s="2">
        <v>26.2</v>
      </c>
      <c r="C18" s="2">
        <v>178</v>
      </c>
      <c r="D18">
        <f t="shared" si="4"/>
        <v>178.2065731228908</v>
      </c>
      <c r="E18">
        <f t="shared" si="0"/>
        <v>178.2065731228908</v>
      </c>
      <c r="F18">
        <f t="shared" si="1"/>
        <v>988.15922500000011</v>
      </c>
      <c r="G18">
        <f t="shared" si="2"/>
        <v>1001.1891496912457</v>
      </c>
      <c r="H18">
        <f t="shared" si="3"/>
        <v>4.2672455100858424E-2</v>
      </c>
    </row>
    <row r="19" spans="1:8" x14ac:dyDescent="0.2">
      <c r="A19">
        <v>18</v>
      </c>
      <c r="B19" s="2">
        <v>27.5</v>
      </c>
      <c r="C19" s="2">
        <v>185.2</v>
      </c>
      <c r="D19">
        <f t="shared" si="4"/>
        <v>184.63879283512819</v>
      </c>
      <c r="E19">
        <f t="shared" si="0"/>
        <v>184.63879283512819</v>
      </c>
      <c r="F19">
        <f t="shared" si="1"/>
        <v>1492.6632249999993</v>
      </c>
      <c r="G19">
        <f t="shared" si="2"/>
        <v>1449.6137008522585</v>
      </c>
      <c r="H19">
        <f t="shared" si="3"/>
        <v>0.31495348190344696</v>
      </c>
    </row>
    <row r="20" spans="1:8" x14ac:dyDescent="0.2">
      <c r="A20">
        <v>19</v>
      </c>
      <c r="B20" s="2">
        <v>28</v>
      </c>
      <c r="C20" s="2">
        <v>188.5</v>
      </c>
      <c r="D20">
        <f t="shared" si="4"/>
        <v>187.11272349368102</v>
      </c>
      <c r="E20">
        <f t="shared" si="0"/>
        <v>187.11272349368102</v>
      </c>
      <c r="F20">
        <f t="shared" si="1"/>
        <v>1758.5442250000001</v>
      </c>
      <c r="G20">
        <f t="shared" si="2"/>
        <v>1644.1178805200116</v>
      </c>
      <c r="H20">
        <f t="shared" si="3"/>
        <v>1.9245361049846037</v>
      </c>
    </row>
    <row r="21" spans="1:8" x14ac:dyDescent="0.2">
      <c r="A21">
        <v>20</v>
      </c>
      <c r="B21" s="2">
        <v>29.5</v>
      </c>
      <c r="C21" s="2">
        <v>195</v>
      </c>
      <c r="D21">
        <f t="shared" si="4"/>
        <v>194.53451546933954</v>
      </c>
      <c r="E21">
        <f t="shared" si="0"/>
        <v>194.53451546933951</v>
      </c>
      <c r="F21">
        <f t="shared" si="1"/>
        <v>2345.9492250000003</v>
      </c>
      <c r="G21">
        <f t="shared" si="2"/>
        <v>2301.0744143632028</v>
      </c>
      <c r="H21">
        <f t="shared" si="3"/>
        <v>0.21667584828421646</v>
      </c>
    </row>
    <row r="22" spans="1:8" x14ac:dyDescent="0.2">
      <c r="B22" t="s">
        <v>46</v>
      </c>
      <c r="C22">
        <f>AVERAGE(C2:C21)</f>
        <v>146.565</v>
      </c>
      <c r="E22" t="s">
        <v>54</v>
      </c>
      <c r="F22">
        <f>SUM(F2:F21)</f>
        <v>16512.005499999999</v>
      </c>
      <c r="G22">
        <f>SUM(G2:G21)</f>
        <v>16478.127254937495</v>
      </c>
      <c r="H22">
        <f>SUM(H2:H21)</f>
        <v>33.878245062506515</v>
      </c>
    </row>
    <row r="23" spans="1:8" x14ac:dyDescent="0.2">
      <c r="B23" t="s">
        <v>47</v>
      </c>
      <c r="C23" t="s">
        <v>48</v>
      </c>
      <c r="F23" t="s">
        <v>55</v>
      </c>
      <c r="G23" t="s">
        <v>56</v>
      </c>
      <c r="H23" t="s">
        <v>57</v>
      </c>
    </row>
    <row r="24" spans="1:8" x14ac:dyDescent="0.2">
      <c r="B24">
        <f>B26/B27</f>
        <v>93.568512673100571</v>
      </c>
      <c r="C24">
        <f>C26/C27</f>
        <v>44.509592883035999</v>
      </c>
      <c r="E24" t="s">
        <v>58</v>
      </c>
      <c r="F24">
        <f>COUNT($C$2:$C$21)-1</f>
        <v>19</v>
      </c>
      <c r="G24">
        <f>COUNT($C$2:$C$21)-19</f>
        <v>1</v>
      </c>
      <c r="H24">
        <f>COUNT($C$2:$C$21)-2</f>
        <v>18</v>
      </c>
    </row>
    <row r="25" spans="1:8" x14ac:dyDescent="0.2">
      <c r="B25" t="s">
        <v>43</v>
      </c>
      <c r="C25" t="s">
        <v>44</v>
      </c>
      <c r="E25" t="s">
        <v>59</v>
      </c>
      <c r="F25">
        <f>F22/F24</f>
        <v>869.05292105263152</v>
      </c>
      <c r="G25">
        <f t="shared" ref="G25:H25" si="5">G22/G24</f>
        <v>16478.127254937495</v>
      </c>
      <c r="H25">
        <f t="shared" si="5"/>
        <v>1.8821247256948064</v>
      </c>
    </row>
    <row r="26" spans="1:8" x14ac:dyDescent="0.2">
      <c r="B26" cm="1">
        <f t="array" ref="B26:C30">LINEST(C2:C21,B2:B21,1,1)</f>
        <v>4.9478613171056764</v>
      </c>
      <c r="C26">
        <v>48.572606614722076</v>
      </c>
    </row>
    <row r="27" spans="1:8" x14ac:dyDescent="0.2">
      <c r="B27">
        <v>5.2879555052798295E-2</v>
      </c>
      <c r="C27">
        <v>1.0912840012345881</v>
      </c>
    </row>
    <row r="28" spans="1:8" x14ac:dyDescent="0.2">
      <c r="B28">
        <v>0.99794826588069463</v>
      </c>
      <c r="C28">
        <v>1.3719055090256025</v>
      </c>
    </row>
    <row r="29" spans="1:8" x14ac:dyDescent="0.2">
      <c r="B29">
        <v>8755.0665638561732</v>
      </c>
      <c r="C29">
        <v>18</v>
      </c>
    </row>
    <row r="30" spans="1:8" x14ac:dyDescent="0.2">
      <c r="B30">
        <v>16478.127254937492</v>
      </c>
      <c r="C30">
        <v>33.878245062506352</v>
      </c>
    </row>
    <row r="31" spans="1:8" x14ac:dyDescent="0.2">
      <c r="B31">
        <f>TINV(0.05,COUNT(B2:B21)-2)</f>
        <v>2.1009220402410378</v>
      </c>
    </row>
    <row r="32" spans="1:8" x14ac:dyDescent="0.2">
      <c r="B32">
        <f>FINV(0.05,1,18)</f>
        <v>4.4138734191705664</v>
      </c>
    </row>
    <row r="33" spans="1:4" x14ac:dyDescent="0.2">
      <c r="B33" s="11">
        <f>$B$26-$B$31*$B$27</f>
        <v>4.8367654944171132</v>
      </c>
      <c r="C33" s="11">
        <f>$B$26+$B$31*$B$27</f>
        <v>5.0589571397942397</v>
      </c>
      <c r="D33" t="s">
        <v>60</v>
      </c>
    </row>
    <row r="34" spans="1:4" x14ac:dyDescent="0.2">
      <c r="B34" s="11">
        <f>$C$26-$C$31*$C$27</f>
        <v>48.572606614722076</v>
      </c>
      <c r="C34" s="11">
        <f>$C$26+$C$31*$C$27</f>
        <v>48.572606614722076</v>
      </c>
      <c r="D34" t="s">
        <v>61</v>
      </c>
    </row>
    <row r="35" spans="1:4" x14ac:dyDescent="0.2">
      <c r="A35" t="s">
        <v>62</v>
      </c>
      <c r="B35">
        <f>SQRT(B28)</f>
        <v>0.99897360619822917</v>
      </c>
      <c r="D35" t="s">
        <v>64</v>
      </c>
    </row>
    <row r="36" spans="1:4" x14ac:dyDescent="0.2">
      <c r="A36" t="s">
        <v>63</v>
      </c>
      <c r="B36">
        <f>B35*SQRT(COUNT(C2:C21)-2)/SQRT(1-B35*B35)</f>
        <v>93.568512673098326</v>
      </c>
      <c r="D36" t="s">
        <v>65</v>
      </c>
    </row>
  </sheetData>
  <phoneticPr fontId="7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03EF8-1019-4241-86ED-E6C38D4AC2F1}">
  <dimension ref="A1:I37"/>
  <sheetViews>
    <sheetView showFormulas="1" topLeftCell="B1" workbookViewId="0">
      <selection activeCell="B41" sqref="B41"/>
    </sheetView>
  </sheetViews>
  <sheetFormatPr baseColWidth="10" defaultColWidth="18.83203125" defaultRowHeight="16" x14ac:dyDescent="0.2"/>
  <cols>
    <col min="2" max="2" width="19" bestFit="1" customWidth="1"/>
    <col min="6" max="6" width="22.6640625" bestFit="1" customWidth="1"/>
  </cols>
  <sheetData>
    <row r="1" spans="1:9" x14ac:dyDescent="0.2">
      <c r="A1" t="s">
        <v>45</v>
      </c>
      <c r="B1" s="1" t="s">
        <v>66</v>
      </c>
      <c r="C1" s="1" t="s">
        <v>67</v>
      </c>
      <c r="D1" s="1" t="s">
        <v>42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</row>
    <row r="2" spans="1:9" x14ac:dyDescent="0.2">
      <c r="A2">
        <v>1</v>
      </c>
      <c r="B2" s="2">
        <v>52</v>
      </c>
      <c r="C2" s="2">
        <v>8</v>
      </c>
      <c r="D2" s="2">
        <v>145.19999999999999</v>
      </c>
      <c r="E2">
        <f>$D$26+$C$26*D2+$B$26*B2</f>
        <v>510.02130854169377</v>
      </c>
      <c r="F2" cm="1">
        <f t="array" ref="F2:F21">TREND($D$2:$D$21,$B$2:$C$21,B2:C21,1)</f>
        <v>144.68780936667082</v>
      </c>
      <c r="G2">
        <f>(D2-$D$22)*(D2-$D$22)</f>
        <v>4853.9088999999985</v>
      </c>
      <c r="H2">
        <f>(F2-$D$22)*(F2-$D$22)</f>
        <v>4925.5398820929549</v>
      </c>
      <c r="I2">
        <f>(D2-F2)*(D2-F2)</f>
        <v>0.26233924487013527</v>
      </c>
    </row>
    <row r="3" spans="1:9" x14ac:dyDescent="0.2">
      <c r="A3">
        <v>2</v>
      </c>
      <c r="B3" s="2">
        <v>55</v>
      </c>
      <c r="C3" s="2">
        <v>8</v>
      </c>
      <c r="D3" s="2">
        <v>150.5</v>
      </c>
      <c r="E3">
        <f>$D$26+$C$26*D3+$B$26*B3</f>
        <v>533.02025003173071</v>
      </c>
      <c r="F3">
        <v>150.12188729534199</v>
      </c>
      <c r="G3">
        <f t="shared" ref="G3:G21" si="0">(D3-$D$22)*(D3-$D$22)</f>
        <v>4143.4968999999974</v>
      </c>
      <c r="H3">
        <f t="shared" ref="H3:H21" si="1">(F3-$D$22)*(F3-$D$22)</f>
        <v>4192.3180988150925</v>
      </c>
      <c r="I3">
        <f t="shared" ref="I3:I21" si="2">(D3-F3)*(D3-F3)</f>
        <v>0.14296921742379412</v>
      </c>
    </row>
    <row r="4" spans="1:9" x14ac:dyDescent="0.2">
      <c r="A4">
        <v>3</v>
      </c>
      <c r="B4" s="2">
        <v>60</v>
      </c>
      <c r="C4" s="2">
        <v>9</v>
      </c>
      <c r="D4" s="2">
        <v>165</v>
      </c>
      <c r="E4">
        <f>$D$26+$C$26*D4+$B$26*B4</f>
        <v>581.61618860261547</v>
      </c>
      <c r="F4">
        <v>163.64492955958872</v>
      </c>
      <c r="G4">
        <f t="shared" si="0"/>
        <v>2487.0168999999978</v>
      </c>
      <c r="H4">
        <f t="shared" si="1"/>
        <v>2624.0078416250954</v>
      </c>
      <c r="I4">
        <f t="shared" si="2"/>
        <v>1.8362158984764261</v>
      </c>
    </row>
    <row r="5" spans="1:9" x14ac:dyDescent="0.2">
      <c r="A5">
        <v>4</v>
      </c>
      <c r="B5" s="2">
        <v>58</v>
      </c>
      <c r="C5" s="2">
        <v>9</v>
      </c>
      <c r="D5" s="2">
        <v>160.80000000000001</v>
      </c>
      <c r="E5">
        <f>$D$26+$C$26*D5+$B$26*B5</f>
        <v>565.07598806955275</v>
      </c>
      <c r="F5">
        <v>160.02221094047462</v>
      </c>
      <c r="G5">
        <f t="shared" si="0"/>
        <v>2923.5648999999962</v>
      </c>
      <c r="H5">
        <f t="shared" si="1"/>
        <v>3008.2799647181891</v>
      </c>
      <c r="I5">
        <f t="shared" si="2"/>
        <v>0.60495582111738966</v>
      </c>
    </row>
    <row r="6" spans="1:9" x14ac:dyDescent="0.2">
      <c r="A6">
        <v>5</v>
      </c>
      <c r="B6" s="2">
        <v>65</v>
      </c>
      <c r="C6" s="2">
        <v>10</v>
      </c>
      <c r="D6" s="2">
        <v>175.5</v>
      </c>
      <c r="E6">
        <f>$D$26+$C$26*D6+$B$26*B6</f>
        <v>622.96668993527192</v>
      </c>
      <c r="F6">
        <v>177.16797182383544</v>
      </c>
      <c r="G6">
        <f t="shared" si="0"/>
        <v>1549.996899999998</v>
      </c>
      <c r="H6">
        <f t="shared" si="1"/>
        <v>1421.4429285963042</v>
      </c>
      <c r="I6">
        <f t="shared" si="2"/>
        <v>2.7821300051089373</v>
      </c>
    </row>
    <row r="7" spans="1:9" x14ac:dyDescent="0.2">
      <c r="A7">
        <v>6</v>
      </c>
      <c r="B7" s="2">
        <v>62</v>
      </c>
      <c r="C7" s="2">
        <v>10</v>
      </c>
      <c r="D7" s="2">
        <v>172</v>
      </c>
      <c r="E7">
        <f>$D$26+$C$26*D7+$B$26*B7</f>
        <v>603.22819520243775</v>
      </c>
      <c r="F7">
        <v>171.73389389516433</v>
      </c>
      <c r="G7">
        <f t="shared" si="0"/>
        <v>1837.836899999998</v>
      </c>
      <c r="H7">
        <f t="shared" si="1"/>
        <v>1860.7236498876391</v>
      </c>
      <c r="I7">
        <f t="shared" si="2"/>
        <v>7.081245903081336E-2</v>
      </c>
    </row>
    <row r="8" spans="1:9" x14ac:dyDescent="0.2">
      <c r="A8">
        <v>7</v>
      </c>
      <c r="B8" s="2">
        <v>70</v>
      </c>
      <c r="C8" s="2">
        <v>11</v>
      </c>
      <c r="D8" s="2">
        <v>190</v>
      </c>
      <c r="E8">
        <f>$D$26+$C$26*D8+$B$26*B8</f>
        <v>671.56262850615667</v>
      </c>
      <c r="F8">
        <v>190.69101408808223</v>
      </c>
      <c r="G8">
        <f t="shared" si="0"/>
        <v>618.51689999999883</v>
      </c>
      <c r="H8">
        <f t="shared" si="1"/>
        <v>584.62335972871699</v>
      </c>
      <c r="I8">
        <f t="shared" si="2"/>
        <v>0.47750046992811157</v>
      </c>
    </row>
    <row r="9" spans="1:9" x14ac:dyDescent="0.2">
      <c r="A9">
        <v>8</v>
      </c>
      <c r="B9" s="2">
        <v>68</v>
      </c>
      <c r="C9" s="2">
        <v>11</v>
      </c>
      <c r="D9" s="2">
        <v>185.5</v>
      </c>
      <c r="E9">
        <f>$D$26+$C$26*D9+$B$26*B9</f>
        <v>654.47902018022694</v>
      </c>
      <c r="F9">
        <v>187.06829546896813</v>
      </c>
      <c r="G9">
        <f t="shared" si="0"/>
        <v>862.59689999999864</v>
      </c>
      <c r="H9">
        <f t="shared" si="1"/>
        <v>772.93477483079664</v>
      </c>
      <c r="I9">
        <f t="shared" si="2"/>
        <v>2.4595506779859697</v>
      </c>
    </row>
    <row r="10" spans="1:9" x14ac:dyDescent="0.2">
      <c r="A10">
        <v>9</v>
      </c>
      <c r="B10" s="2">
        <v>75</v>
      </c>
      <c r="C10" s="2">
        <v>12</v>
      </c>
      <c r="D10" s="2">
        <v>205.2</v>
      </c>
      <c r="E10">
        <f>$D$26+$C$26*D10+$B$26*B10</f>
        <v>721.42651859373132</v>
      </c>
      <c r="F10">
        <v>204.21405635232895</v>
      </c>
      <c r="G10">
        <f t="shared" si="0"/>
        <v>93.508899999999755</v>
      </c>
      <c r="H10">
        <f t="shared" si="1"/>
        <v>113.54913502234044</v>
      </c>
      <c r="I10">
        <f t="shared" si="2"/>
        <v>0.97208487638286745</v>
      </c>
    </row>
    <row r="11" spans="1:9" x14ac:dyDescent="0.2">
      <c r="A11">
        <v>10</v>
      </c>
      <c r="B11" s="2">
        <v>78</v>
      </c>
      <c r="C11" s="2">
        <v>12</v>
      </c>
      <c r="D11" s="2">
        <v>210</v>
      </c>
      <c r="E11">
        <f>$D$26+$C$26*D11+$B$26*B11</f>
        <v>743.51978042898963</v>
      </c>
      <c r="F11">
        <v>209.64813428100013</v>
      </c>
      <c r="G11">
        <f t="shared" si="0"/>
        <v>23.716899999999768</v>
      </c>
      <c r="H11">
        <f t="shared" si="1"/>
        <v>27.26788158726583</v>
      </c>
      <c r="I11">
        <f t="shared" si="2"/>
        <v>0.12380948420729888</v>
      </c>
    </row>
    <row r="12" spans="1:9" x14ac:dyDescent="0.2">
      <c r="A12">
        <v>11</v>
      </c>
      <c r="B12" s="2">
        <v>82</v>
      </c>
      <c r="C12" s="2">
        <v>13</v>
      </c>
      <c r="D12" s="2">
        <v>220.5</v>
      </c>
      <c r="E12">
        <f>$D$26+$C$26*D12+$B$26*B12</f>
        <v>780.40403604518474</v>
      </c>
      <c r="F12">
        <v>221.35981723568977</v>
      </c>
      <c r="G12">
        <f t="shared" si="0"/>
        <v>31.696900000000269</v>
      </c>
      <c r="H12">
        <f t="shared" si="1"/>
        <v>42.117727752656378</v>
      </c>
      <c r="I12">
        <f t="shared" si="2"/>
        <v>0.73928567878920581</v>
      </c>
    </row>
    <row r="13" spans="1:9" x14ac:dyDescent="0.2">
      <c r="A13">
        <v>12</v>
      </c>
      <c r="B13" s="2">
        <v>80</v>
      </c>
      <c r="C13" s="2">
        <v>13</v>
      </c>
      <c r="D13" s="2">
        <v>215.8</v>
      </c>
      <c r="E13">
        <f>$D$26+$C$26*D13+$B$26*B13</f>
        <v>762.95815585734351</v>
      </c>
      <c r="F13">
        <v>217.73709861657568</v>
      </c>
      <c r="G13">
        <f t="shared" si="0"/>
        <v>0.86490000000006551</v>
      </c>
      <c r="H13">
        <f t="shared" si="1"/>
        <v>8.2202544771703092</v>
      </c>
      <c r="I13">
        <f t="shared" si="2"/>
        <v>3.7523510503393656</v>
      </c>
    </row>
    <row r="14" spans="1:9" x14ac:dyDescent="0.2">
      <c r="A14">
        <v>13</v>
      </c>
      <c r="B14" s="2">
        <v>88</v>
      </c>
      <c r="C14" s="2">
        <v>14</v>
      </c>
      <c r="D14" s="2">
        <v>235</v>
      </c>
      <c r="E14">
        <f>$D$26+$C$26*D14+$B$26*B14</f>
        <v>833.46622033253084</v>
      </c>
      <c r="F14">
        <v>236.69421880949358</v>
      </c>
      <c r="G14">
        <f t="shared" si="0"/>
        <v>405.21690000000098</v>
      </c>
      <c r="H14">
        <f t="shared" si="1"/>
        <v>476.29652664465431</v>
      </c>
      <c r="I14">
        <f t="shared" si="2"/>
        <v>2.8703773744418344</v>
      </c>
    </row>
    <row r="15" spans="1:9" x14ac:dyDescent="0.2">
      <c r="A15">
        <v>14</v>
      </c>
      <c r="B15" s="2">
        <v>90</v>
      </c>
      <c r="C15" s="2">
        <v>14</v>
      </c>
      <c r="D15" s="2">
        <v>240.2</v>
      </c>
      <c r="E15">
        <f>$D$26+$C$26*D15+$B$26*B15</f>
        <v>851.81778017515057</v>
      </c>
      <c r="F15">
        <v>240.31693742860767</v>
      </c>
      <c r="G15">
        <f t="shared" si="0"/>
        <v>641.60890000000063</v>
      </c>
      <c r="H15">
        <f t="shared" si="1"/>
        <v>647.54662449547527</v>
      </c>
      <c r="I15">
        <f t="shared" si="2"/>
        <v>1.3674362209377315E-2</v>
      </c>
    </row>
    <row r="16" spans="1:9" x14ac:dyDescent="0.2">
      <c r="A16">
        <v>15</v>
      </c>
      <c r="B16" s="2">
        <v>95</v>
      </c>
      <c r="C16" s="2">
        <v>15</v>
      </c>
      <c r="D16" s="2">
        <v>255.5</v>
      </c>
      <c r="E16">
        <f>$D$26+$C$26*D16+$B$26*B16</f>
        <v>901.86280619368085</v>
      </c>
      <c r="F16">
        <v>253.8399796928544</v>
      </c>
      <c r="G16">
        <f t="shared" si="0"/>
        <v>1650.7969000000019</v>
      </c>
      <c r="H16">
        <f t="shared" si="1"/>
        <v>1518.6593172614862</v>
      </c>
      <c r="I16">
        <f t="shared" si="2"/>
        <v>2.7556674201357749</v>
      </c>
    </row>
    <row r="17" spans="1:9" x14ac:dyDescent="0.2">
      <c r="A17">
        <v>16</v>
      </c>
      <c r="B17" s="2">
        <v>92</v>
      </c>
      <c r="C17" s="2">
        <v>15</v>
      </c>
      <c r="D17" s="2">
        <v>250</v>
      </c>
      <c r="E17">
        <f>$D$26+$C$26*D17+$B$26*B17</f>
        <v>878.50159284173264</v>
      </c>
      <c r="F17">
        <v>248.40590176418328</v>
      </c>
      <c r="G17">
        <f t="shared" si="0"/>
        <v>1234.1169000000016</v>
      </c>
      <c r="H17">
        <f t="shared" si="1"/>
        <v>1124.6567071369532</v>
      </c>
      <c r="I17">
        <f t="shared" si="2"/>
        <v>2.5411491854339667</v>
      </c>
    </row>
    <row r="18" spans="1:9" x14ac:dyDescent="0.2">
      <c r="A18">
        <v>17</v>
      </c>
      <c r="B18" s="2">
        <v>100</v>
      </c>
      <c r="C18" s="2">
        <v>16</v>
      </c>
      <c r="D18" s="2">
        <v>270</v>
      </c>
      <c r="E18">
        <f>$D$26+$C$26*D18+$B$26*B18</f>
        <v>950.45874476456561</v>
      </c>
      <c r="F18">
        <v>267.36302195710118</v>
      </c>
      <c r="G18">
        <f t="shared" si="0"/>
        <v>3039.3169000000025</v>
      </c>
      <c r="H18">
        <f t="shared" si="1"/>
        <v>2755.5173541887093</v>
      </c>
      <c r="I18">
        <f t="shared" si="2"/>
        <v>6.9536531987304802</v>
      </c>
    </row>
    <row r="19" spans="1:9" x14ac:dyDescent="0.2">
      <c r="A19">
        <v>18</v>
      </c>
      <c r="B19" s="2">
        <v>105</v>
      </c>
      <c r="C19" s="2">
        <v>16</v>
      </c>
      <c r="D19" s="2">
        <v>275.5</v>
      </c>
      <c r="E19">
        <f>$D$26+$C$26*D19+$B$26*B19</f>
        <v>982.75244954943696</v>
      </c>
      <c r="F19">
        <v>276.41981850488639</v>
      </c>
      <c r="G19">
        <f t="shared" si="0"/>
        <v>3675.9969000000028</v>
      </c>
      <c r="H19">
        <f t="shared" si="1"/>
        <v>3788.3801579844585</v>
      </c>
      <c r="I19">
        <f t="shared" si="2"/>
        <v>0.84606608193144006</v>
      </c>
    </row>
    <row r="20" spans="1:9" x14ac:dyDescent="0.2">
      <c r="A20">
        <v>19</v>
      </c>
      <c r="B20" s="2">
        <v>110</v>
      </c>
      <c r="C20" s="2">
        <v>17</v>
      </c>
      <c r="D20" s="2">
        <v>290</v>
      </c>
      <c r="E20">
        <f>$D$26+$C$26*D20+$B$26*B20</f>
        <v>1031.3483881203215</v>
      </c>
      <c r="F20">
        <v>289.94286076913318</v>
      </c>
      <c r="G20">
        <f t="shared" si="0"/>
        <v>5644.5169000000033</v>
      </c>
      <c r="H20">
        <f t="shared" si="1"/>
        <v>5635.9344240616583</v>
      </c>
      <c r="I20">
        <f t="shared" si="2"/>
        <v>3.2648917040521792E-3</v>
      </c>
    </row>
    <row r="21" spans="1:9" x14ac:dyDescent="0.2">
      <c r="A21">
        <v>20</v>
      </c>
      <c r="B21" s="2">
        <v>108</v>
      </c>
      <c r="C21" s="2">
        <v>17</v>
      </c>
      <c r="D21" s="2">
        <v>285.2</v>
      </c>
      <c r="E21">
        <f>$D$26+$C$26*D21+$B$26*B21</f>
        <v>1013.7213720015247</v>
      </c>
      <c r="F21">
        <v>286.32014215001908</v>
      </c>
      <c r="G21">
        <f t="shared" si="0"/>
        <v>4946.3089000000018</v>
      </c>
      <c r="H21">
        <f t="shared" si="1"/>
        <v>5105.1228132579363</v>
      </c>
      <c r="I21">
        <f t="shared" si="2"/>
        <v>1.2547184362493935</v>
      </c>
    </row>
    <row r="22" spans="1:9" x14ac:dyDescent="0.2">
      <c r="C22" t="s">
        <v>68</v>
      </c>
      <c r="D22">
        <f>AVERAGE(D2:D21)</f>
        <v>214.86999999999998</v>
      </c>
      <c r="F22" t="s">
        <v>54</v>
      </c>
      <c r="G22">
        <f>SUM(G2:G21)</f>
        <v>40664.601999999999</v>
      </c>
      <c r="H22">
        <f t="shared" ref="H22:I22" si="3">SUM(H2:H21)</f>
        <v>40633.139424165551</v>
      </c>
      <c r="I22">
        <f t="shared" si="3"/>
        <v>31.462575834496633</v>
      </c>
    </row>
    <row r="23" spans="1:9" x14ac:dyDescent="0.2">
      <c r="B23" t="s">
        <v>48</v>
      </c>
      <c r="C23" t="s">
        <v>47</v>
      </c>
      <c r="D23" t="s">
        <v>69</v>
      </c>
      <c r="G23" t="s">
        <v>55</v>
      </c>
      <c r="H23" t="s">
        <v>56</v>
      </c>
      <c r="I23" t="s">
        <v>83</v>
      </c>
    </row>
    <row r="24" spans="1:9" x14ac:dyDescent="0.2">
      <c r="B24">
        <f>B26/B27</f>
        <v>4.4758144095234753</v>
      </c>
      <c r="C24">
        <f>C26/C27</f>
        <v>11.268630490727242</v>
      </c>
      <c r="D24">
        <f>D26/D27</f>
        <v>10.427761522144678</v>
      </c>
      <c r="F24" t="s">
        <v>58</v>
      </c>
      <c r="G24">
        <f>COUNT($C$2:$C$21)-1</f>
        <v>19</v>
      </c>
      <c r="H24">
        <f>COUNT($C$2:$C$21)-18</f>
        <v>2</v>
      </c>
      <c r="I24">
        <f>COUNT($C$2:$C$21)-3</f>
        <v>17</v>
      </c>
    </row>
    <row r="25" spans="1:9" x14ac:dyDescent="0.2">
      <c r="B25" t="s">
        <v>70</v>
      </c>
      <c r="C25" t="s">
        <v>43</v>
      </c>
      <c r="D25" t="s">
        <v>44</v>
      </c>
      <c r="F25" t="s">
        <v>59</v>
      </c>
      <c r="G25">
        <f>G22/G24</f>
        <v>2140.2422105263158</v>
      </c>
      <c r="H25">
        <f t="shared" ref="H25:I25" si="4">H22/H24</f>
        <v>20316.569712082775</v>
      </c>
      <c r="I25">
        <f t="shared" si="4"/>
        <v>1.8507397549703901</v>
      </c>
    </row>
    <row r="26" spans="1:9" x14ac:dyDescent="0.2">
      <c r="A26" t="s">
        <v>71</v>
      </c>
      <c r="B26" cm="1">
        <f t="array" ref="B26:D30">LINEST(D2:D21,B2:C21,1,1)</f>
        <v>4.4662457164615024</v>
      </c>
      <c r="C26">
        <v>1.8113593095570486</v>
      </c>
      <c r="D26">
        <v>14.76715953801228</v>
      </c>
    </row>
    <row r="27" spans="1:9" x14ac:dyDescent="0.2">
      <c r="A27" t="s">
        <v>72</v>
      </c>
      <c r="B27">
        <v>0.99786213363949738</v>
      </c>
      <c r="C27">
        <v>0.16074351812738774</v>
      </c>
      <c r="D27">
        <v>1.4161389773492938</v>
      </c>
    </row>
    <row r="28" spans="1:9" x14ac:dyDescent="0.2">
      <c r="A28" t="s">
        <v>73</v>
      </c>
      <c r="B28">
        <v>0.99922629082083481</v>
      </c>
      <c r="C28">
        <v>1.3604189630295465</v>
      </c>
      <c r="D28" t="e">
        <v>#N/A</v>
      </c>
    </row>
    <row r="29" spans="1:9" x14ac:dyDescent="0.2">
      <c r="A29" t="s">
        <v>74</v>
      </c>
      <c r="B29">
        <v>10977.54001205201</v>
      </c>
      <c r="C29">
        <v>17</v>
      </c>
      <c r="D29" t="e">
        <v>#N/A</v>
      </c>
    </row>
    <row r="30" spans="1:9" x14ac:dyDescent="0.2">
      <c r="A30" t="s">
        <v>54</v>
      </c>
      <c r="B30">
        <v>40633.1394241655</v>
      </c>
      <c r="C30">
        <v>31.462575834496569</v>
      </c>
      <c r="D30" t="e">
        <v>#N/A</v>
      </c>
    </row>
    <row r="31" spans="1:9" x14ac:dyDescent="0.2">
      <c r="A31" t="s">
        <v>75</v>
      </c>
      <c r="B31">
        <f>TINV(0.05,COUNT(B2:B21)-3)</f>
        <v>2.109815577833317</v>
      </c>
    </row>
    <row r="32" spans="1:9" x14ac:dyDescent="0.2">
      <c r="A32" t="s">
        <v>76</v>
      </c>
      <c r="B32">
        <f>FINV(0.05,1,18)</f>
        <v>4.4138734191705664</v>
      </c>
    </row>
    <row r="33" spans="1:4" x14ac:dyDescent="0.2">
      <c r="B33" s="11">
        <f>B26-B31*B27</f>
        <v>2.3609406423788997</v>
      </c>
      <c r="C33" s="11">
        <f>B26+B31*B27</f>
        <v>6.5715507905441051</v>
      </c>
      <c r="D33" s="11" t="s">
        <v>80</v>
      </c>
    </row>
    <row r="34" spans="1:4" x14ac:dyDescent="0.2">
      <c r="B34" s="11">
        <f>C26-B31*C27</f>
        <v>1.4722201309761538</v>
      </c>
      <c r="C34" s="11">
        <f>C26+B31*C27</f>
        <v>2.1504984881379432</v>
      </c>
      <c r="D34" s="11" t="s">
        <v>81</v>
      </c>
    </row>
    <row r="35" spans="1:4" x14ac:dyDescent="0.2">
      <c r="B35" s="11">
        <f>D26-B31*D27</f>
        <v>11.779367463223796</v>
      </c>
      <c r="C35" s="11">
        <f>D26+B31*D27</f>
        <v>17.754951612800763</v>
      </c>
      <c r="D35" s="11" t="s">
        <v>82</v>
      </c>
    </row>
    <row r="36" spans="1:4" x14ac:dyDescent="0.2">
      <c r="A36" t="s">
        <v>77</v>
      </c>
      <c r="B36" t="s">
        <v>78</v>
      </c>
      <c r="C36" t="s">
        <v>79</v>
      </c>
    </row>
    <row r="37" spans="1:4" x14ac:dyDescent="0.2">
      <c r="A37">
        <f>AVERAGE(B19:B21)</f>
        <v>107.66666666666667</v>
      </c>
      <c r="B37">
        <f>AVERAGE(C19:C21)</f>
        <v>16.666666666666668</v>
      </c>
      <c r="C37">
        <f>D26+C26*A37+B26*B37</f>
        <v>284.2276071413462</v>
      </c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27FF8-B397-6C48-B732-B03EF069B213}">
  <dimension ref="A1:K15"/>
  <sheetViews>
    <sheetView tabSelected="1" workbookViewId="0">
      <selection activeCell="A51" sqref="A51"/>
    </sheetView>
  </sheetViews>
  <sheetFormatPr baseColWidth="10" defaultColWidth="15.1640625" defaultRowHeight="16" x14ac:dyDescent="0.2"/>
  <cols>
    <col min="5" max="5" width="22.33203125" customWidth="1"/>
  </cols>
  <sheetData>
    <row r="1" spans="1:11" x14ac:dyDescent="0.2">
      <c r="A1" s="1" t="s">
        <v>84</v>
      </c>
      <c r="B1" s="1" t="s">
        <v>85</v>
      </c>
      <c r="C1" s="1" t="s">
        <v>86</v>
      </c>
      <c r="E1" t="s">
        <v>87</v>
      </c>
    </row>
    <row r="2" spans="1:11" x14ac:dyDescent="0.2">
      <c r="A2" s="2">
        <v>28.5</v>
      </c>
      <c r="B2" s="2">
        <v>34.200000000000003</v>
      </c>
      <c r="C2" s="2">
        <v>39.5</v>
      </c>
    </row>
    <row r="3" spans="1:11" ht="17" thickBot="1" x14ac:dyDescent="0.25">
      <c r="A3" s="2">
        <v>29</v>
      </c>
      <c r="B3" s="2">
        <v>35.5</v>
      </c>
      <c r="C3" s="2">
        <v>41</v>
      </c>
      <c r="E3" t="s">
        <v>88</v>
      </c>
    </row>
    <row r="4" spans="1:11" x14ac:dyDescent="0.2">
      <c r="A4" s="2">
        <v>31.2</v>
      </c>
      <c r="B4" s="2">
        <v>33.799999999999997</v>
      </c>
      <c r="C4" s="2">
        <v>38.799999999999997</v>
      </c>
      <c r="E4" s="10" t="s">
        <v>89</v>
      </c>
      <c r="F4" s="10" t="s">
        <v>90</v>
      </c>
      <c r="G4" s="10" t="s">
        <v>91</v>
      </c>
      <c r="H4" s="10" t="s">
        <v>26</v>
      </c>
      <c r="I4" s="10" t="s">
        <v>27</v>
      </c>
    </row>
    <row r="5" spans="1:11" x14ac:dyDescent="0.2">
      <c r="A5" s="2">
        <v>30.5</v>
      </c>
      <c r="B5" s="2">
        <v>36</v>
      </c>
      <c r="C5" s="2">
        <v>40.5</v>
      </c>
      <c r="E5" s="8" t="s">
        <v>84</v>
      </c>
      <c r="F5" s="8">
        <v>6</v>
      </c>
      <c r="G5" s="8">
        <v>176.5</v>
      </c>
      <c r="H5" s="8">
        <v>29.416666666666668</v>
      </c>
      <c r="I5" s="8">
        <v>1.5976666666666657</v>
      </c>
    </row>
    <row r="6" spans="1:11" x14ac:dyDescent="0.2">
      <c r="A6" s="2">
        <v>27.8</v>
      </c>
      <c r="B6" s="2">
        <v>32.5</v>
      </c>
      <c r="C6" s="2">
        <v>42.2</v>
      </c>
      <c r="E6" s="8" t="s">
        <v>85</v>
      </c>
      <c r="F6" s="8">
        <v>6</v>
      </c>
      <c r="G6" s="8">
        <v>206.8</v>
      </c>
      <c r="H6" s="8">
        <v>34.466666666666669</v>
      </c>
      <c r="I6" s="8">
        <v>1.5826666666666667</v>
      </c>
    </row>
    <row r="7" spans="1:11" ht="17" thickBot="1" x14ac:dyDescent="0.25">
      <c r="A7" s="2">
        <v>29.5</v>
      </c>
      <c r="B7" s="2">
        <v>34.799999999999997</v>
      </c>
      <c r="C7" s="2">
        <v>39</v>
      </c>
      <c r="E7" s="9" t="s">
        <v>86</v>
      </c>
      <c r="F7" s="9">
        <v>6</v>
      </c>
      <c r="G7" s="9">
        <v>241</v>
      </c>
      <c r="H7" s="9">
        <v>40.166666666666664</v>
      </c>
      <c r="I7" s="9">
        <v>1.7226666666666706</v>
      </c>
    </row>
    <row r="10" spans="1:11" ht="17" thickBot="1" x14ac:dyDescent="0.25">
      <c r="E10" t="s">
        <v>92</v>
      </c>
    </row>
    <row r="11" spans="1:11" x14ac:dyDescent="0.2">
      <c r="E11" s="10" t="s">
        <v>93</v>
      </c>
      <c r="F11" s="10" t="s">
        <v>94</v>
      </c>
      <c r="G11" s="10" t="s">
        <v>9</v>
      </c>
      <c r="H11" s="10" t="s">
        <v>95</v>
      </c>
      <c r="I11" s="10" t="s">
        <v>5</v>
      </c>
      <c r="J11" s="10" t="s">
        <v>96</v>
      </c>
      <c r="K11" s="10" t="s">
        <v>97</v>
      </c>
    </row>
    <row r="12" spans="1:11" x14ac:dyDescent="0.2">
      <c r="E12" s="8" t="s">
        <v>98</v>
      </c>
      <c r="F12" s="8">
        <v>347.1099999999999</v>
      </c>
      <c r="G12" s="8">
        <v>2</v>
      </c>
      <c r="H12" s="8">
        <v>173.55499999999995</v>
      </c>
      <c r="I12" s="8">
        <v>106.19314705282471</v>
      </c>
      <c r="J12" s="8">
        <v>1.3962150508089324E-9</v>
      </c>
      <c r="K12" s="8">
        <v>3.6823203436732408</v>
      </c>
    </row>
    <row r="13" spans="1:11" x14ac:dyDescent="0.2">
      <c r="E13" s="8" t="s">
        <v>99</v>
      </c>
      <c r="F13" s="8">
        <v>24.515000000000015</v>
      </c>
      <c r="G13" s="8">
        <v>15</v>
      </c>
      <c r="H13" s="8">
        <v>1.6343333333333343</v>
      </c>
      <c r="I13" s="8"/>
      <c r="J13" s="8"/>
      <c r="K13" s="8"/>
    </row>
    <row r="14" spans="1:11" x14ac:dyDescent="0.2">
      <c r="E14" s="8"/>
      <c r="F14" s="8"/>
      <c r="G14" s="8"/>
      <c r="H14" s="8"/>
      <c r="I14" s="8"/>
      <c r="J14" s="8"/>
      <c r="K14" s="8"/>
    </row>
    <row r="15" spans="1:11" ht="17" thickBot="1" x14ac:dyDescent="0.25">
      <c r="E15" s="9" t="s">
        <v>100</v>
      </c>
      <c r="F15" s="9">
        <v>371.62499999999994</v>
      </c>
      <c r="G15" s="9">
        <v>17</v>
      </c>
      <c r="H15" s="9"/>
      <c r="I15" s="9"/>
      <c r="J15" s="9"/>
      <c r="K15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Sheet1</vt:lpstr>
      <vt:lpstr>Парна лінійна регресія</vt:lpstr>
      <vt:lpstr>Множинна лінійна регресія</vt:lpstr>
      <vt:lpstr>Дисперсійний аналіз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Білозор Дмитро</dc:creator>
  <cp:lastModifiedBy>Білозор Дмитро</cp:lastModifiedBy>
  <dcterms:created xsi:type="dcterms:W3CDTF">2025-11-14T06:26:27Z</dcterms:created>
  <dcterms:modified xsi:type="dcterms:W3CDTF">2025-11-30T17:58:08Z</dcterms:modified>
</cp:coreProperties>
</file>