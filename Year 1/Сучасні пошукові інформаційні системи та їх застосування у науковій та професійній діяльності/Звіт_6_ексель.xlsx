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in007/WebstormProjects/phd-studies/Year 1/Сучасні пошукові інформаційні системи та їх застосування у науковій та професійній діяльності/"/>
    </mc:Choice>
  </mc:AlternateContent>
  <xr:revisionPtr revIDLastSave="0" documentId="13_ncr:1_{55C74674-D8B7-6844-A52A-A02BCAF344C2}" xr6:coauthVersionLast="47" xr6:coauthVersionMax="47" xr10:uidLastSave="{00000000-0000-0000-0000-000000000000}"/>
  <bookViews>
    <workbookView xWindow="20" yWindow="880" windowWidth="41120" windowHeight="24720" xr2:uid="{CC069074-15B1-CF4A-B7B8-81EBB559B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" l="1"/>
  <c r="V5" i="1"/>
  <c r="V6" i="1"/>
  <c r="V3" i="1"/>
  <c r="U3" i="1"/>
  <c r="T3" i="1"/>
  <c r="S155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R3" i="1"/>
  <c r="Q155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1" i="1"/>
  <c r="Q12" i="1"/>
  <c r="Q13" i="1"/>
  <c r="Q14" i="1"/>
  <c r="Q6" i="1"/>
  <c r="Q7" i="1"/>
  <c r="Q8" i="1"/>
  <c r="Q9" i="1"/>
  <c r="Q10" i="1"/>
  <c r="Q5" i="1"/>
  <c r="P17" i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5" i="1" a="1"/>
  <c r="I5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I15" i="1" s="1"/>
  <c r="J6" i="1" a="1"/>
  <c r="J6" i="1" s="1"/>
  <c r="J5" i="1" a="1"/>
  <c r="J5" i="1" s="1"/>
  <c r="D3" i="1"/>
  <c r="C3" i="1"/>
  <c r="B3" i="1"/>
  <c r="E3" i="1" s="1"/>
  <c r="A3" i="1"/>
  <c r="L5" i="1" l="1" a="1"/>
  <c r="K5" i="1" a="1"/>
  <c r="M7" i="1" l="1"/>
  <c r="N7" i="1" s="1"/>
  <c r="O7" i="1" s="1"/>
  <c r="M12" i="1"/>
  <c r="N12" i="1" s="1"/>
  <c r="O12" i="1" s="1"/>
  <c r="M15" i="1"/>
  <c r="N15" i="1" s="1"/>
  <c r="O15" i="1" s="1"/>
  <c r="M8" i="1"/>
  <c r="N8" i="1" s="1"/>
  <c r="O8" i="1" s="1"/>
  <c r="M14" i="1"/>
  <c r="N14" i="1" s="1"/>
  <c r="O14" i="1" s="1"/>
  <c r="M9" i="1"/>
  <c r="N9" i="1" s="1"/>
  <c r="O9" i="1" s="1"/>
  <c r="M10" i="1"/>
  <c r="N10" i="1" s="1"/>
  <c r="O10" i="1" s="1"/>
  <c r="M11" i="1"/>
  <c r="N11" i="1" s="1"/>
  <c r="O11" i="1" s="1"/>
  <c r="M13" i="1"/>
  <c r="N13" i="1" s="1"/>
  <c r="O13" i="1" s="1"/>
  <c r="L5" i="1"/>
  <c r="M6" i="1" s="1"/>
  <c r="K5" i="1"/>
  <c r="K17" i="1" s="1"/>
  <c r="N6" i="1" l="1"/>
  <c r="N17" i="1" l="1"/>
  <c r="O6" i="1"/>
  <c r="O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<sst xmlns="http://schemas.openxmlformats.org/spreadsheetml/2006/main" count="24" uniqueCount="24">
  <si>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Xmin</t>
  </si>
  <si>
    <t>Xmax</t>
  </si>
  <si>
    <t>Xsr</t>
  </si>
  <si>
    <t>Xsr_kv</t>
  </si>
  <si>
    <t>N</t>
  </si>
  <si>
    <t>Dx</t>
  </si>
  <si>
    <t>Xsort</t>
  </si>
  <si>
    <t>Xi0</t>
  </si>
  <si>
    <t>Xi1</t>
  </si>
  <si>
    <t>ni</t>
  </si>
  <si>
    <t>Fi</t>
  </si>
  <si>
    <t>Pi</t>
  </si>
  <si>
    <t>Mi</t>
  </si>
  <si>
    <t>Qkv_i</t>
  </si>
  <si>
    <t>hi_kv_kr</t>
  </si>
  <si>
    <t>Summ</t>
  </si>
  <si>
    <t>(Xi-Xsr)3</t>
  </si>
  <si>
    <t>SUM</t>
  </si>
  <si>
    <t>K_ass</t>
  </si>
  <si>
    <t>(Xi-Xsr)4</t>
  </si>
  <si>
    <t>K_eksc</t>
  </si>
  <si>
    <t>St_JB</t>
  </si>
  <si>
    <t>St_JB_kr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</si>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</sst>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EC65-FA17-7B4B-A59B-324CCA928B8A}">
  <dimension ref="A2:W155"/>
  <sheetViews>
    <sheetView tabSelected="1" topLeftCell="H1" zoomScale="86" workbookViewId="0">
      <selection activeCell="W6" sqref="W6"/>
    </sheetView>
  </sheetViews>
  <sheetFormatPr baseColWidth="10" defaultColWidth="18.33203125" defaultRowHeight="16" outlineLevelCol="1" x14ac:dyDescent="0.2"/>
  <cols>
    <col min="1" max="8" width="18.33203125" style="1"/>
    <col min="9" max="9" width="27" style="1" bestFit="1" customWidth="1"/>
    <col min="10" max="10" width="27.5" style="1" bestFit="1" customWidth="1"/>
    <col min="11" max="16" width="18.33203125" style="1"/>
    <col min="17" max="17" width="18.33203125" style="1" outlineLevel="1"/>
    <col min="18" max="21" width="18.33203125" style="1"/>
    <col min="22" max="22" width="10.1640625" style="1" customWidth="1"/>
    <col min="23" max="16384" width="18.33203125" style="1"/>
  </cols>
  <sheetData>
    <row r="2" spans="1:23" s="3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16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pans="1:23" x14ac:dyDescent="0.2">
      <c r="A3" s="1">
        <f>MIN(B5:B154)</f>
        <v>-3.0604242056142539</v>
      </c>
      <c r="B3" s="1">
        <f>MAX(B5:B154)</f>
        <v>4.2530300561338663</v>
      </c>
      <c r="C3" s="1">
        <f>AVERAGE(B5:B154)</f>
        <v>4.0962198302925877E-2</v>
      </c>
      <c r="D3" s="1">
        <f>STDEV(B5:B154)</f>
        <v>1.4394719965419485</v>
      </c>
      <c r="E3" s="1">
        <f>(B3-A3)/10</f>
        <v>0.73134542617481202</v>
      </c>
      <c r="F3" s="1">
        <v>150</v>
      </c>
      <c r="R3" s="1">
        <f>Q155/(150*POWER(D3,3))</f>
        <v>0.24328672803354301</v>
      </c>
      <c r="T3" s="1">
        <f>S155/(150*POWER($D$3,4))-3</f>
        <v>-8.4907693381120364E-2</v>
      </c>
      <c r="U3" s="1">
        <f>150*((R3*R3/6)+(T3*T3/24))</f>
        <v>1.5247690284023176</v>
      </c>
      <c r="V3" s="1">
        <f>CHIINV(W3,8)</f>
        <v>13.361566136511726</v>
      </c>
      <c r="W3" s="1">
        <v>0.1</v>
      </c>
    </row>
    <row r="4" spans="1:23" x14ac:dyDescent="0.2">
      <c r="V4" s="1">
        <f t="shared" ref="V4:V6" si="0">CHIINV(W4,8)</f>
        <v>15.507313055865453</v>
      </c>
      <c r="W4" s="1">
        <v>0.05</v>
      </c>
    </row>
    <row r="5" spans="1:23" x14ac:dyDescent="0.2">
      <c r="A5" s="1">
        <v>1</v>
      </c>
      <c r="B5" s="1">
        <v>-0.90744242697837763</v>
      </c>
      <c r="H5" s="1">
        <v>-3.0604242056142539</v>
      </c>
      <c r="I5" s="1" cm="1">
        <f t="array" aca="1" ref="I5" ca="1">MIN(ROUND(OFFSET($H$5, (ROW(A1)-1)*10, 0, 10), 2))</f>
        <v>-3.06</v>
      </c>
      <c r="J5" s="1" cm="1">
        <f t="array" aca="1" ref="J5" ca="1">MAX(ROUND(OFFSET($H$5, (ROW(A1)-1)*15, 0, 15), 2))</f>
        <v>-1.94</v>
      </c>
      <c r="K5" s="1" cm="1">
        <f t="array" aca="1" ref="K5:K16" ca="1">FREQUENCY(H5:H154,I5:I15)</f>
        <v>1</v>
      </c>
      <c r="L5" s="1" cm="1">
        <f t="array" aca="1" ref="L5:L15" ca="1">NORMDIST(I5:I15,C3,D3,1)</f>
        <v>1.5610839882202758E-2</v>
      </c>
      <c r="Q5" s="1">
        <f>POWER(H5-$C$3,3)</f>
        <v>-29.830987903274266</v>
      </c>
      <c r="S5" s="1">
        <f>POWER(H5-$C$3,4)</f>
        <v>92.517420298632672</v>
      </c>
      <c r="V5" s="1">
        <f t="shared" si="0"/>
        <v>17.53454613948465</v>
      </c>
      <c r="W5" s="1">
        <v>2.5000000000000001E-2</v>
      </c>
    </row>
    <row r="6" spans="1:23" x14ac:dyDescent="0.2">
      <c r="A6" s="1">
        <v>2</v>
      </c>
      <c r="B6" s="1">
        <v>-2.8761205612681806</v>
      </c>
      <c r="H6" s="1">
        <v>-2.8978993213968351</v>
      </c>
      <c r="I6" s="1" cm="1">
        <f t="array" aca="1" ref="I6" ca="1">MIN(ROUND(OFFSET($H$5, (ROW(A2)-1)*15, 0, 15), 2))</f>
        <v>-1.91</v>
      </c>
      <c r="J6" s="1" cm="1">
        <f t="array" aca="1" ref="J6" ca="1">MAX(ROUND(OFFSET($H$5, (ROW(A2)-1)*15, 0, 15), 2))</f>
        <v>-1.1000000000000001</v>
      </c>
      <c r="K6" s="1">
        <f ca="1"/>
        <v>14</v>
      </c>
      <c r="L6" s="1">
        <f ca="1"/>
        <v>8.7655930965185258E-2</v>
      </c>
      <c r="M6" s="1">
        <f ca="1">L6-L5</f>
        <v>7.2045091082982501E-2</v>
      </c>
      <c r="N6" s="1">
        <f ca="1">M6*150</f>
        <v>10.806763662447375</v>
      </c>
      <c r="O6" s="1">
        <f ca="1">((K6-N6)*(K6-N6))/N6</f>
        <v>0.94355337323600452</v>
      </c>
      <c r="Q6" s="1">
        <f t="shared" ref="Q6:Q69" si="1">POWER(H6-$C$3,3)</f>
        <v>-25.382673725486757</v>
      </c>
      <c r="S6" s="1">
        <f t="shared" ref="S6:S69" si="2">POWER(H6-$C$3,4)</f>
        <v>74.596163078927219</v>
      </c>
      <c r="V6" s="1">
        <f t="shared" si="0"/>
        <v>20.090235029663233</v>
      </c>
      <c r="W6" s="1">
        <v>0.01</v>
      </c>
    </row>
    <row r="7" spans="1:23" x14ac:dyDescent="0.2">
      <c r="A7" s="1">
        <v>3</v>
      </c>
      <c r="B7" s="1">
        <v>-0.38642224353679921</v>
      </c>
      <c r="H7" s="1">
        <v>-2.8761205612681806</v>
      </c>
      <c r="I7" s="1" cm="1">
        <f t="array" aca="1" ref="I7" ca="1">MIN(ROUND(OFFSET($H$5, (ROW(A3)-1)*15, 0, 15), 2))</f>
        <v>-1.1000000000000001</v>
      </c>
      <c r="J7" s="1" cm="1">
        <f t="array" aca="1" ref="J7" ca="1">MAX(ROUND(OFFSET($H$5, (ROW(A3)-1)*15, 0, 15), 2))</f>
        <v>-0.7</v>
      </c>
      <c r="K7" s="1">
        <f ca="1"/>
        <v>15</v>
      </c>
      <c r="L7" s="1">
        <f ca="1"/>
        <v>0.21399802621757943</v>
      </c>
      <c r="M7" s="1">
        <f t="shared" ref="M7:M15" ca="1" si="3">L7-L6</f>
        <v>0.12634209525239418</v>
      </c>
      <c r="N7" s="1">
        <f t="shared" ref="N7:N15" ca="1" si="4">M7*150</f>
        <v>18.951314287859127</v>
      </c>
      <c r="O7" s="1">
        <f t="shared" ref="O7:O15" ca="1" si="5">((K7-N7)*(K7-N7))/N7</f>
        <v>0.82384178555055876</v>
      </c>
      <c r="Q7" s="1">
        <f t="shared" si="1"/>
        <v>-24.822541848950152</v>
      </c>
      <c r="S7" s="1">
        <f t="shared" si="2"/>
        <v>72.409408876304795</v>
      </c>
    </row>
    <row r="8" spans="1:23" x14ac:dyDescent="0.2">
      <c r="A8" s="1">
        <v>4</v>
      </c>
      <c r="B8" s="1">
        <v>-0.28027000098518329</v>
      </c>
      <c r="H8" s="1">
        <v>-2.5645258574513718</v>
      </c>
      <c r="I8" s="1" cm="1">
        <f t="array" aca="1" ref="I8" ca="1">MIN(ROUND(OFFSET($H$5, (ROW(A4)-1)*15, 0, 15), 2))</f>
        <v>-0.7</v>
      </c>
      <c r="J8" s="1" cm="1">
        <f t="array" aca="1" ref="J8" ca="1">MAX(ROUND(OFFSET($H$5, (ROW(A4)-1)*15, 0, 15), 2))</f>
        <v>-0.39</v>
      </c>
      <c r="K8" s="1">
        <f ca="1"/>
        <v>16</v>
      </c>
      <c r="L8" s="1">
        <f ca="1"/>
        <v>0.30336532390589754</v>
      </c>
      <c r="M8" s="1">
        <f t="shared" ca="1" si="3"/>
        <v>8.9367297688318109E-2</v>
      </c>
      <c r="N8" s="1">
        <f t="shared" ca="1" si="4"/>
        <v>13.405094653247716</v>
      </c>
      <c r="O8" s="1">
        <f t="shared" ca="1" si="5"/>
        <v>0.50231154145354939</v>
      </c>
      <c r="Q8" s="1">
        <f t="shared" si="1"/>
        <v>-17.687532862287078</v>
      </c>
      <c r="S8" s="1">
        <f t="shared" si="2"/>
        <v>46.08465560845061</v>
      </c>
    </row>
    <row r="9" spans="1:23" x14ac:dyDescent="0.2">
      <c r="A9" s="1">
        <v>5</v>
      </c>
      <c r="B9" s="1">
        <v>-1.9404023987590335</v>
      </c>
      <c r="H9" s="1">
        <v>-2.5118170015048236</v>
      </c>
      <c r="I9" s="1" cm="1">
        <f t="array" aca="1" ref="I9" ca="1">MIN(ROUND(OFFSET($H$5, (ROW(A5)-1)*15, 0, 15), 2))</f>
        <v>-0.39</v>
      </c>
      <c r="J9" s="1" cm="1">
        <f t="array" aca="1" ref="J9" ca="1">MAX(ROUND(OFFSET($H$5, (ROW(A5)-1)*15, 0, 15), 2))</f>
        <v>-7.0000000000000007E-2</v>
      </c>
      <c r="K9" s="1">
        <f ca="1"/>
        <v>14</v>
      </c>
      <c r="L9" s="1">
        <f ca="1"/>
        <v>0.38232159617679584</v>
      </c>
      <c r="M9" s="1">
        <f t="shared" ca="1" si="3"/>
        <v>7.8956272270898298E-2</v>
      </c>
      <c r="N9" s="1">
        <f t="shared" ca="1" si="4"/>
        <v>11.843440840634745</v>
      </c>
      <c r="O9" s="1">
        <f t="shared" ca="1" si="5"/>
        <v>0.3926854932128761</v>
      </c>
      <c r="Q9" s="1">
        <f t="shared" si="1"/>
        <v>-16.635649349945602</v>
      </c>
      <c r="S9" s="1">
        <f t="shared" si="2"/>
        <v>42.467139635836439</v>
      </c>
    </row>
    <row r="10" spans="1:23" x14ac:dyDescent="0.2">
      <c r="A10" s="1">
        <v>6</v>
      </c>
      <c r="B10" s="1">
        <v>3.2029674912337214</v>
      </c>
      <c r="H10" s="1">
        <v>-2.4848832254065201</v>
      </c>
      <c r="I10" s="1" cm="1">
        <f t="array" aca="1" ref="I10" ca="1">MIN(ROUND(OFFSET($H$5, (ROW(A6)-1)*15, 0, 15), 2))</f>
        <v>-7.0000000000000007E-2</v>
      </c>
      <c r="J10" s="1" cm="1">
        <f t="array" aca="1" ref="J10" ca="1">MAX(ROUND(OFFSET($H$5, (ROW(A6)-1)*15, 0, 15), 2))</f>
        <v>0.33</v>
      </c>
      <c r="K10" s="1">
        <f ca="1"/>
        <v>14</v>
      </c>
      <c r="L10" s="1">
        <f ca="1"/>
        <v>0.46927782486979353</v>
      </c>
      <c r="M10" s="1">
        <f t="shared" ca="1" si="3"/>
        <v>8.6956228692997684E-2</v>
      </c>
      <c r="N10" s="1">
        <f t="shared" ca="1" si="4"/>
        <v>13.043434303949653</v>
      </c>
      <c r="O10" s="1">
        <f t="shared" ca="1" si="5"/>
        <v>7.0151611112359513E-2</v>
      </c>
      <c r="Q10" s="1">
        <f t="shared" si="1"/>
        <v>-16.114628853381831</v>
      </c>
      <c r="S10" s="1">
        <f t="shared" si="2"/>
        <v>40.703061544090694</v>
      </c>
    </row>
    <row r="11" spans="1:23" x14ac:dyDescent="0.2">
      <c r="A11" s="1">
        <v>7</v>
      </c>
      <c r="B11" s="1">
        <v>-5.1146685109415557E-2</v>
      </c>
      <c r="H11" s="1">
        <v>-2.4273858798551373</v>
      </c>
      <c r="I11" s="1" cm="1">
        <f t="array" aca="1" ref="I11" ca="1">MIN(ROUND(OFFSET($H$5, (ROW(A7)-1)*15, 0, 15), 2))</f>
        <v>0.34</v>
      </c>
      <c r="J11" s="1" cm="1">
        <f t="array" aca="1" ref="J11" ca="1">MAX(ROUND(OFFSET($H$5, (ROW(A7)-1)*15, 0, 15), 2))</f>
        <v>0.79</v>
      </c>
      <c r="K11" s="1">
        <f ca="1"/>
        <v>17</v>
      </c>
      <c r="L11" s="1">
        <f ca="1"/>
        <v>0.58228452065882297</v>
      </c>
      <c r="M11" s="1">
        <f t="shared" ca="1" si="3"/>
        <v>0.11300669578902944</v>
      </c>
      <c r="N11" s="1">
        <f t="shared" ca="1" si="4"/>
        <v>16.951004368354418</v>
      </c>
      <c r="O11" s="1">
        <f t="shared" ca="1" si="5"/>
        <v>1.4161827040945864E-4</v>
      </c>
      <c r="Q11" s="1">
        <f>POWER(H11-$C$3,3)</f>
        <v>-15.039008586342915</v>
      </c>
      <c r="S11" s="1">
        <f t="shared" si="2"/>
        <v>37.121507941502145</v>
      </c>
    </row>
    <row r="12" spans="1:23" x14ac:dyDescent="0.2">
      <c r="A12" s="1">
        <v>8</v>
      </c>
      <c r="B12" s="1">
        <v>0.94065148914523888</v>
      </c>
      <c r="H12" s="1">
        <v>-2.4108448997139931</v>
      </c>
      <c r="I12" s="1" cm="1">
        <f t="array" aca="1" ref="I12" ca="1">MIN(ROUND(OFFSET($H$5, (ROW(A8)-1)*15, 0, 15), 2))</f>
        <v>0.8</v>
      </c>
      <c r="J12" s="1" cm="1">
        <f t="array" aca="1" ref="J12" ca="1">MAX(ROUND(OFFSET($H$5, (ROW(A8)-1)*15, 0, 15), 2))</f>
        <v>1.2</v>
      </c>
      <c r="K12" s="1">
        <f ca="1"/>
        <v>15</v>
      </c>
      <c r="L12" s="1">
        <f ca="1"/>
        <v>0.70100838011739341</v>
      </c>
      <c r="M12" s="1">
        <f t="shared" ca="1" si="3"/>
        <v>0.11872385945857045</v>
      </c>
      <c r="N12" s="1">
        <f t="shared" ca="1" si="4"/>
        <v>17.808578918785567</v>
      </c>
      <c r="O12" s="1">
        <f t="shared" ca="1" si="5"/>
        <v>0.44293907891358164</v>
      </c>
      <c r="Q12" s="1">
        <f t="shared" si="1"/>
        <v>-14.73869032562477</v>
      </c>
      <c r="S12" s="1">
        <f t="shared" si="2"/>
        <v>36.136425555840106</v>
      </c>
    </row>
    <row r="13" spans="1:23" x14ac:dyDescent="0.2">
      <c r="A13" s="1">
        <v>9</v>
      </c>
      <c r="B13" s="1">
        <v>-2.4108448997139931</v>
      </c>
      <c r="H13" s="1">
        <v>-2.3391712602460757</v>
      </c>
      <c r="I13" s="1" cm="1">
        <f t="array" aca="1" ref="I13" ca="1">MIN(ROUND(OFFSET($H$5, (ROW(A9)-1)*15, 0, 15), 2))</f>
        <v>1.23</v>
      </c>
      <c r="J13" s="1" cm="1">
        <f t="array" aca="1" ref="J13" ca="1">MAX(ROUND(OFFSET($H$5, (ROW(A9)-1)*15, 0, 15), 2))</f>
        <v>1.78</v>
      </c>
      <c r="K13" s="1">
        <f ca="1"/>
        <v>14</v>
      </c>
      <c r="L13" s="1">
        <f ca="1"/>
        <v>0.79560464007214504</v>
      </c>
      <c r="M13" s="1">
        <f t="shared" ca="1" si="3"/>
        <v>9.4596259954751627E-2</v>
      </c>
      <c r="N13" s="1">
        <f t="shared" ca="1" si="4"/>
        <v>14.189438993212743</v>
      </c>
      <c r="O13" s="1">
        <f t="shared" ca="1" si="5"/>
        <v>2.5291438348354501E-3</v>
      </c>
      <c r="Q13" s="1">
        <f t="shared" si="1"/>
        <v>-13.48354001498913</v>
      </c>
      <c r="S13" s="1">
        <f t="shared" si="2"/>
        <v>32.092624729359933</v>
      </c>
    </row>
    <row r="14" spans="1:23" x14ac:dyDescent="0.2">
      <c r="A14" s="1">
        <v>10</v>
      </c>
      <c r="B14" s="1">
        <v>-2.4273858798551373</v>
      </c>
      <c r="H14" s="1">
        <v>-2.2275580704445019</v>
      </c>
      <c r="I14" s="1" cm="1">
        <f t="array" aca="1" ref="I14" ca="1">MIN(ROUND(OFFSET($H$5, (ROW(A10)-1)*15, 0, 15), 2))</f>
        <v>1.81</v>
      </c>
      <c r="J14" s="1" cm="1">
        <f t="array" aca="1" ref="J14" ca="1">MAX(ROUND(OFFSET($H$5, (ROW(A10)-1)*15, 0, 15), 2))</f>
        <v>4.25</v>
      </c>
      <c r="K14" s="1">
        <f ca="1"/>
        <v>16</v>
      </c>
      <c r="L14" s="1">
        <f ca="1"/>
        <v>0.89045455300063758</v>
      </c>
      <c r="M14" s="1">
        <f t="shared" ca="1" si="3"/>
        <v>9.4849912928492541E-2</v>
      </c>
      <c r="N14" s="1">
        <f t="shared" ca="1" si="4"/>
        <v>14.227486939273881</v>
      </c>
      <c r="O14" s="1">
        <f t="shared" ca="1" si="5"/>
        <v>0.22082624737977946</v>
      </c>
      <c r="Q14" s="1">
        <f t="shared" si="1"/>
        <v>-11.674223186453027</v>
      </c>
      <c r="S14" s="1">
        <f t="shared" si="2"/>
        <v>26.483211920349873</v>
      </c>
    </row>
    <row r="15" spans="1:23" x14ac:dyDescent="0.2">
      <c r="A15" s="1">
        <v>11</v>
      </c>
      <c r="B15" s="1">
        <v>1.9444755707809236</v>
      </c>
      <c r="H15" s="1">
        <v>-2.0940951799275354</v>
      </c>
      <c r="I15" s="1">
        <f ca="1">J14</f>
        <v>4.25</v>
      </c>
      <c r="K15" s="1">
        <f ca="1"/>
        <v>13</v>
      </c>
      <c r="L15" s="1">
        <f ca="1"/>
        <v>0.99827225987898838</v>
      </c>
      <c r="M15" s="1">
        <f t="shared" ca="1" si="3"/>
        <v>0.10781770687835079</v>
      </c>
      <c r="N15" s="1">
        <f t="shared" ca="1" si="4"/>
        <v>16.17265603175262</v>
      </c>
      <c r="O15" s="1">
        <f t="shared" ca="1" si="5"/>
        <v>0.62239290046444307</v>
      </c>
      <c r="Q15" s="1">
        <f t="shared" si="1"/>
        <v>-9.7325950247407569</v>
      </c>
      <c r="S15" s="1">
        <f t="shared" si="2"/>
        <v>20.779648816901833</v>
      </c>
    </row>
    <row r="16" spans="1:23" x14ac:dyDescent="0.2">
      <c r="A16" s="1">
        <v>12</v>
      </c>
      <c r="B16" s="1">
        <v>1.5799266748217633</v>
      </c>
      <c r="H16" s="1">
        <v>-2.0140032575000077</v>
      </c>
      <c r="K16" s="1">
        <f ca="1"/>
        <v>1</v>
      </c>
      <c r="Q16" s="1">
        <f t="shared" si="1"/>
        <v>-8.6778787393332166</v>
      </c>
      <c r="S16" s="1">
        <f t="shared" si="2"/>
        <v>17.832741038976472</v>
      </c>
    </row>
    <row r="17" spans="1:19" x14ac:dyDescent="0.2">
      <c r="A17" s="1">
        <v>13</v>
      </c>
      <c r="B17" s="1">
        <v>0.30025751129869604</v>
      </c>
      <c r="H17" s="1">
        <v>-1.9769013306358829</v>
      </c>
      <c r="J17" s="1" t="s">
        <v>15</v>
      </c>
      <c r="K17" s="1">
        <f ca="1">SUM(_xlfn.ANCHORARRAY(K5))</f>
        <v>150</v>
      </c>
      <c r="N17" s="1">
        <f ca="1">SUM(N6:N15)</f>
        <v>147.39921299951783</v>
      </c>
      <c r="O17" s="1">
        <f ca="1">SUM(O6:O15)</f>
        <v>4.0213727934283972</v>
      </c>
      <c r="P17" s="1">
        <f>CHIINV(0.05,7)</f>
        <v>14.067140449340167</v>
      </c>
      <c r="Q17" s="1">
        <f t="shared" si="1"/>
        <v>-8.2162826816158958</v>
      </c>
      <c r="S17" s="1">
        <f t="shared" si="2"/>
        <v>16.579337166684272</v>
      </c>
    </row>
    <row r="18" spans="1:19" x14ac:dyDescent="0.2">
      <c r="A18" s="1">
        <v>14</v>
      </c>
      <c r="B18" s="1">
        <v>-6.9184807216515765E-2</v>
      </c>
      <c r="H18" s="1">
        <v>-1.9578005776565988</v>
      </c>
      <c r="Q18" s="1">
        <f t="shared" si="1"/>
        <v>-7.9851624939604049</v>
      </c>
      <c r="S18" s="1">
        <f t="shared" si="2"/>
        <v>15.960445552916179</v>
      </c>
    </row>
    <row r="19" spans="1:19" x14ac:dyDescent="0.2">
      <c r="A19" s="1">
        <v>15</v>
      </c>
      <c r="B19" s="1">
        <v>1.257755911865388</v>
      </c>
      <c r="H19" s="1">
        <v>-1.9404023987590335</v>
      </c>
      <c r="Q19" s="1">
        <f t="shared" si="1"/>
        <v>-7.7784523625295074</v>
      </c>
      <c r="S19" s="1">
        <f t="shared" si="2"/>
        <v>15.411950131048924</v>
      </c>
    </row>
    <row r="20" spans="1:19" x14ac:dyDescent="0.2">
      <c r="A20" s="1">
        <v>16</v>
      </c>
      <c r="B20" s="1">
        <v>-1.15892680696561</v>
      </c>
      <c r="H20" s="1">
        <v>-1.9097028598480392</v>
      </c>
      <c r="Q20" s="1">
        <f t="shared" si="1"/>
        <v>-7.4224642386200035</v>
      </c>
      <c r="S20" s="1">
        <f t="shared" si="2"/>
        <v>14.478741635651147</v>
      </c>
    </row>
    <row r="21" spans="1:19" x14ac:dyDescent="0.2">
      <c r="A21" s="1">
        <v>17</v>
      </c>
      <c r="B21" s="1">
        <v>0.81900020632019732</v>
      </c>
      <c r="H21" s="1">
        <v>-1.8829346117854584</v>
      </c>
      <c r="Q21" s="1">
        <f t="shared" si="1"/>
        <v>-7.1210711276452843</v>
      </c>
      <c r="S21" s="1">
        <f t="shared" si="2"/>
        <v>13.700206026889255</v>
      </c>
    </row>
    <row r="22" spans="1:19" x14ac:dyDescent="0.2">
      <c r="A22" s="1">
        <v>18</v>
      </c>
      <c r="B22" s="1">
        <v>-1.5601106042595347</v>
      </c>
      <c r="H22" s="1">
        <v>-1.6976791812339798</v>
      </c>
      <c r="Q22" s="1">
        <f t="shared" si="1"/>
        <v>-5.2556935548847141</v>
      </c>
      <c r="S22" s="1">
        <f t="shared" si="2"/>
        <v>9.1377662926879832</v>
      </c>
    </row>
    <row r="23" spans="1:19" x14ac:dyDescent="0.2">
      <c r="A23" s="1">
        <v>19</v>
      </c>
      <c r="B23" s="1">
        <v>0.67671112446987536</v>
      </c>
      <c r="H23" s="1">
        <v>-1.6812416561151622</v>
      </c>
      <c r="Q23" s="1">
        <f t="shared" si="1"/>
        <v>-5.1080327214228465</v>
      </c>
      <c r="S23" s="1">
        <f t="shared" si="2"/>
        <v>8.7970736413281418</v>
      </c>
    </row>
    <row r="24" spans="1:19" x14ac:dyDescent="0.2">
      <c r="A24" s="1">
        <v>20</v>
      </c>
      <c r="B24" s="1">
        <v>-0.48130527829925995</v>
      </c>
      <c r="H24" s="1">
        <v>-1.5601106042595347</v>
      </c>
      <c r="Q24" s="1">
        <f t="shared" si="1"/>
        <v>-4.1042446492600142</v>
      </c>
      <c r="S24" s="1">
        <f t="shared" si="2"/>
        <v>6.5711944829927136</v>
      </c>
    </row>
    <row r="25" spans="1:19" x14ac:dyDescent="0.2">
      <c r="A25" s="1">
        <v>21</v>
      </c>
      <c r="B25" s="1">
        <v>0.46009404286451172</v>
      </c>
      <c r="H25" s="1">
        <v>-1.55415750668908</v>
      </c>
      <c r="Q25" s="1">
        <f t="shared" si="1"/>
        <v>-4.058633541044208</v>
      </c>
      <c r="S25" s="1">
        <f t="shared" si="2"/>
        <v>6.4740063366610974</v>
      </c>
    </row>
    <row r="26" spans="1:19" x14ac:dyDescent="0.2">
      <c r="A26" s="1">
        <v>22</v>
      </c>
      <c r="B26" s="1">
        <v>1.7287629816564731</v>
      </c>
      <c r="H26" s="1">
        <v>-1.5492005331907421</v>
      </c>
      <c r="Q26" s="1">
        <f t="shared" si="1"/>
        <v>-4.0209133307886766</v>
      </c>
      <c r="S26" s="1">
        <f t="shared" si="2"/>
        <v>6.3939065251862246</v>
      </c>
    </row>
    <row r="27" spans="1:19" x14ac:dyDescent="0.2">
      <c r="A27" s="1">
        <v>23</v>
      </c>
      <c r="B27" s="1">
        <v>-0.70425676312879659</v>
      </c>
      <c r="H27" s="1">
        <v>-1.4272122825786937</v>
      </c>
      <c r="Q27" s="1">
        <f t="shared" si="1"/>
        <v>-3.164703397541123</v>
      </c>
      <c r="S27" s="1">
        <f t="shared" si="2"/>
        <v>4.6463367678292355</v>
      </c>
    </row>
    <row r="28" spans="1:19" x14ac:dyDescent="0.2">
      <c r="A28" s="1">
        <v>24</v>
      </c>
      <c r="B28" s="1">
        <v>-0.81652024164213799</v>
      </c>
      <c r="H28" s="1">
        <v>-1.3800515716866357</v>
      </c>
      <c r="Q28" s="1">
        <f t="shared" si="1"/>
        <v>-2.8694248765907977</v>
      </c>
      <c r="S28" s="1">
        <f t="shared" si="2"/>
        <v>4.077492261586122</v>
      </c>
    </row>
    <row r="29" spans="1:19" x14ac:dyDescent="0.2">
      <c r="A29" s="1">
        <v>25</v>
      </c>
      <c r="B29" s="1">
        <v>-0.40569000248069642</v>
      </c>
      <c r="H29" s="1">
        <v>-1.3582018709712429</v>
      </c>
      <c r="Q29" s="1">
        <f t="shared" si="1"/>
        <v>-2.7390876616247293</v>
      </c>
      <c r="S29" s="1">
        <f t="shared" si="2"/>
        <v>3.8324330387375234</v>
      </c>
    </row>
    <row r="30" spans="1:19" x14ac:dyDescent="0.2">
      <c r="A30" s="1">
        <v>26</v>
      </c>
      <c r="B30" s="1">
        <v>0.13587043667939724</v>
      </c>
      <c r="H30" s="1">
        <v>-1.2837999747716822</v>
      </c>
      <c r="Q30" s="1">
        <f t="shared" si="1"/>
        <v>-2.3249507451314186</v>
      </c>
      <c r="S30" s="1">
        <f t="shared" si="2"/>
        <v>3.0800068014117268</v>
      </c>
    </row>
    <row r="31" spans="1:19" x14ac:dyDescent="0.2">
      <c r="A31" s="1">
        <v>27</v>
      </c>
      <c r="B31" s="1">
        <v>-3.0604242056142539</v>
      </c>
      <c r="H31" s="1">
        <v>-1.1732006441889098</v>
      </c>
      <c r="Q31" s="1">
        <f t="shared" si="1"/>
        <v>-1.7899084304209905</v>
      </c>
      <c r="S31" s="1">
        <f t="shared" si="2"/>
        <v>2.1732403076800497</v>
      </c>
    </row>
    <row r="32" spans="1:19" x14ac:dyDescent="0.2">
      <c r="A32" s="1">
        <v>28</v>
      </c>
      <c r="B32" s="1">
        <v>4.2530300561338663</v>
      </c>
      <c r="H32" s="1">
        <v>-1.15892680696561</v>
      </c>
      <c r="Q32" s="1">
        <f t="shared" si="1"/>
        <v>-1.7275205471100969</v>
      </c>
      <c r="S32" s="1">
        <f t="shared" si="2"/>
        <v>2.0728329108528909</v>
      </c>
    </row>
    <row r="33" spans="1:19" x14ac:dyDescent="0.2">
      <c r="A33" s="1">
        <v>29</v>
      </c>
      <c r="B33" s="1">
        <v>-2.8978993213968351</v>
      </c>
      <c r="H33" s="1">
        <v>-1.1092506611021236</v>
      </c>
      <c r="Q33" s="1">
        <f t="shared" si="1"/>
        <v>-1.5217196760156635</v>
      </c>
      <c r="S33" s="1">
        <f t="shared" si="2"/>
        <v>1.7503015397629016</v>
      </c>
    </row>
    <row r="34" spans="1:19" x14ac:dyDescent="0.2">
      <c r="A34" s="1">
        <v>30</v>
      </c>
      <c r="B34" s="1">
        <v>1.306208332607639</v>
      </c>
      <c r="H34" s="1">
        <v>-1.1038384855055483</v>
      </c>
      <c r="Q34" s="1">
        <f t="shared" si="1"/>
        <v>-1.5003398359241493</v>
      </c>
      <c r="S34" s="1">
        <f t="shared" si="2"/>
        <v>1.71759007011106</v>
      </c>
    </row>
    <row r="35" spans="1:19" x14ac:dyDescent="0.2">
      <c r="A35" s="1">
        <v>31</v>
      </c>
      <c r="B35" s="1">
        <v>1.3612138900498394</v>
      </c>
      <c r="H35" s="1">
        <v>-1.0966971331072273</v>
      </c>
      <c r="Q35" s="1">
        <f t="shared" si="1"/>
        <v>-1.4724369257327254</v>
      </c>
      <c r="S35" s="1">
        <f t="shared" si="2"/>
        <v>1.6751316084727135</v>
      </c>
    </row>
    <row r="36" spans="1:19" x14ac:dyDescent="0.2">
      <c r="A36" s="1">
        <v>32</v>
      </c>
      <c r="B36" s="1">
        <v>-0.10762130386865465</v>
      </c>
      <c r="H36" s="1">
        <v>-1.0529149676585803</v>
      </c>
      <c r="Q36" s="1">
        <f t="shared" si="1"/>
        <v>-1.3088975969197376</v>
      </c>
      <c r="S36" s="1">
        <f t="shared" si="2"/>
        <v>1.4317731938523883</v>
      </c>
    </row>
    <row r="37" spans="1:19" x14ac:dyDescent="0.2">
      <c r="A37" s="1">
        <v>33</v>
      </c>
      <c r="B37" s="1">
        <v>-2.0940951799275354</v>
      </c>
      <c r="H37" s="1">
        <v>-1.0270600796502549</v>
      </c>
      <c r="Q37" s="1">
        <f t="shared" si="1"/>
        <v>-1.2182626658943858</v>
      </c>
      <c r="S37" s="1">
        <f t="shared" si="2"/>
        <v>1.3011316675738367</v>
      </c>
    </row>
    <row r="38" spans="1:19" x14ac:dyDescent="0.2">
      <c r="A38" s="1">
        <v>34</v>
      </c>
      <c r="B38" s="1">
        <v>2.5880190150928684</v>
      </c>
      <c r="H38" s="1">
        <v>-0.98675695880956482</v>
      </c>
      <c r="Q38" s="1">
        <f t="shared" si="1"/>
        <v>-1.0854838244112395</v>
      </c>
      <c r="S38" s="1">
        <f t="shared" si="2"/>
        <v>1.1155725210831617</v>
      </c>
    </row>
    <row r="39" spans="1:19" x14ac:dyDescent="0.2">
      <c r="A39" s="1">
        <v>35</v>
      </c>
      <c r="B39" s="1">
        <v>-1.1092506611021236</v>
      </c>
      <c r="H39" s="1">
        <v>-0.95519430942658801</v>
      </c>
      <c r="Q39" s="1">
        <f t="shared" si="1"/>
        <v>-0.9885137837093102</v>
      </c>
      <c r="S39" s="1">
        <f t="shared" si="2"/>
        <v>0.98471443862235464</v>
      </c>
    </row>
    <row r="40" spans="1:19" x14ac:dyDescent="0.2">
      <c r="A40" s="1">
        <v>36</v>
      </c>
      <c r="B40" s="1">
        <v>1.3868648238712922</v>
      </c>
      <c r="H40" s="1">
        <v>-0.91793276624230202</v>
      </c>
      <c r="Q40" s="1">
        <f t="shared" si="1"/>
        <v>-0.88168431340294984</v>
      </c>
      <c r="S40" s="1">
        <f t="shared" si="2"/>
        <v>0.84544264844060513</v>
      </c>
    </row>
    <row r="41" spans="1:19" x14ac:dyDescent="0.2">
      <c r="A41" s="1">
        <v>37</v>
      </c>
      <c r="B41" s="1">
        <v>-1.3800515716866357</v>
      </c>
      <c r="H41" s="1">
        <v>-0.90744242697837763</v>
      </c>
      <c r="Q41" s="1">
        <f t="shared" si="1"/>
        <v>-0.85306277276695408</v>
      </c>
      <c r="S41" s="1">
        <f t="shared" si="2"/>
        <v>0.80904867934747282</v>
      </c>
    </row>
    <row r="42" spans="1:19" x14ac:dyDescent="0.2">
      <c r="A42" s="1">
        <v>38</v>
      </c>
      <c r="B42" s="1">
        <v>1.097184849641053</v>
      </c>
      <c r="H42" s="1">
        <v>-0.90662661023088731</v>
      </c>
      <c r="Q42" s="1">
        <f t="shared" si="1"/>
        <v>-0.85086325454322442</v>
      </c>
      <c r="S42" s="1">
        <f t="shared" si="2"/>
        <v>0.80626849759781671</v>
      </c>
    </row>
    <row r="43" spans="1:19" x14ac:dyDescent="0.2">
      <c r="A43" s="1">
        <v>39</v>
      </c>
      <c r="B43" s="1">
        <v>0.79428923527302686</v>
      </c>
      <c r="H43" s="1">
        <v>-0.8982231065601809</v>
      </c>
      <c r="Q43" s="1">
        <f t="shared" si="1"/>
        <v>-0.82842627730381568</v>
      </c>
      <c r="S43" s="1">
        <f t="shared" si="2"/>
        <v>0.77804578580619277</v>
      </c>
    </row>
    <row r="44" spans="1:19" x14ac:dyDescent="0.2">
      <c r="A44" s="1">
        <v>40</v>
      </c>
      <c r="B44" s="1">
        <v>2.848903022822924</v>
      </c>
      <c r="H44" s="1">
        <v>-0.81652024164213799</v>
      </c>
      <c r="Q44" s="1">
        <f t="shared" si="1"/>
        <v>-0.63048637411380459</v>
      </c>
      <c r="S44" s="1">
        <f t="shared" si="2"/>
        <v>0.54063099442722151</v>
      </c>
    </row>
    <row r="45" spans="1:19" x14ac:dyDescent="0.2">
      <c r="A45" s="1">
        <v>41</v>
      </c>
      <c r="B45" s="1">
        <v>-1.1732006441889098</v>
      </c>
      <c r="H45" s="1">
        <v>-0.77756646987836575</v>
      </c>
      <c r="Q45" s="1">
        <f t="shared" si="1"/>
        <v>-0.548405351720746</v>
      </c>
      <c r="S45" s="1">
        <f t="shared" si="2"/>
        <v>0.44888550216747503</v>
      </c>
    </row>
    <row r="46" spans="1:19" x14ac:dyDescent="0.2">
      <c r="A46" s="1">
        <v>42</v>
      </c>
      <c r="B46" s="1">
        <v>-7.8182438301155344E-4</v>
      </c>
      <c r="H46" s="1">
        <v>-0.74572005814843578</v>
      </c>
      <c r="Q46" s="1">
        <f t="shared" si="1"/>
        <v>-0.48685323982482354</v>
      </c>
      <c r="S46" s="1">
        <f t="shared" si="2"/>
        <v>0.38299880526604813</v>
      </c>
    </row>
    <row r="47" spans="1:19" x14ac:dyDescent="0.2">
      <c r="A47" s="1">
        <v>43</v>
      </c>
      <c r="B47" s="1">
        <v>-9.8301484285912011E-2</v>
      </c>
      <c r="H47" s="1">
        <v>-0.74485546974756289</v>
      </c>
      <c r="Q47" s="1">
        <f t="shared" si="1"/>
        <v>-0.48524980253826583</v>
      </c>
      <c r="S47" s="1">
        <f t="shared" si="2"/>
        <v>0.38131786825258024</v>
      </c>
    </row>
    <row r="48" spans="1:19" x14ac:dyDescent="0.2">
      <c r="A48" s="1">
        <v>44</v>
      </c>
      <c r="B48" s="1">
        <v>2.4642395146656781</v>
      </c>
      <c r="H48" s="1">
        <v>-0.70728799528296804</v>
      </c>
      <c r="Q48" s="1">
        <f t="shared" si="1"/>
        <v>-0.41892908541919482</v>
      </c>
      <c r="S48" s="1">
        <f t="shared" si="2"/>
        <v>0.31346376926367403</v>
      </c>
    </row>
    <row r="49" spans="1:19" x14ac:dyDescent="0.2">
      <c r="A49" s="1">
        <v>45</v>
      </c>
      <c r="B49" s="1">
        <v>-0.16082969978015171</v>
      </c>
      <c r="H49" s="1">
        <v>-0.70425676312879659</v>
      </c>
      <c r="Q49" s="1">
        <f t="shared" si="1"/>
        <v>-0.41385831937150597</v>
      </c>
      <c r="S49" s="1">
        <f t="shared" si="2"/>
        <v>0.30841506694191179</v>
      </c>
    </row>
    <row r="50" spans="1:19" x14ac:dyDescent="0.2">
      <c r="A50" s="1">
        <v>46</v>
      </c>
      <c r="B50" s="1">
        <v>-1.6976791812339798</v>
      </c>
      <c r="H50" s="1">
        <v>-0.7023650141491089</v>
      </c>
      <c r="Q50" s="1">
        <f t="shared" si="1"/>
        <v>-0.41071455761038106</v>
      </c>
      <c r="S50" s="1">
        <f t="shared" si="2"/>
        <v>0.30529530722199522</v>
      </c>
    </row>
    <row r="51" spans="1:19" x14ac:dyDescent="0.2">
      <c r="A51" s="1">
        <v>47</v>
      </c>
      <c r="B51" s="1">
        <v>2.5278259272454306</v>
      </c>
      <c r="H51" s="1">
        <v>-0.65202084442717023</v>
      </c>
      <c r="Q51" s="1">
        <f t="shared" si="1"/>
        <v>-0.33278812646206735</v>
      </c>
      <c r="S51" s="1">
        <f t="shared" si="2"/>
        <v>0.23061652846013145</v>
      </c>
    </row>
    <row r="52" spans="1:19" x14ac:dyDescent="0.2">
      <c r="A52" s="1">
        <v>48</v>
      </c>
      <c r="B52" s="1">
        <v>-0.36231870126357535</v>
      </c>
      <c r="H52" s="1">
        <v>-0.64748064687591977</v>
      </c>
      <c r="Q52" s="1">
        <f t="shared" si="1"/>
        <v>-0.32628993118671717</v>
      </c>
      <c r="S52" s="1">
        <f t="shared" si="2"/>
        <v>0.22463196857939333</v>
      </c>
    </row>
    <row r="53" spans="1:19" x14ac:dyDescent="0.2">
      <c r="A53" s="1">
        <v>49</v>
      </c>
      <c r="B53" s="1">
        <v>0.61044670474075247</v>
      </c>
      <c r="H53" s="1">
        <v>-0.64612390815455001</v>
      </c>
      <c r="Q53" s="1">
        <f t="shared" si="1"/>
        <v>-0.32436463701744145</v>
      </c>
      <c r="S53" s="1">
        <f t="shared" si="2"/>
        <v>0.22286643552080632</v>
      </c>
    </row>
    <row r="54" spans="1:19" x14ac:dyDescent="0.2">
      <c r="A54" s="1">
        <v>50</v>
      </c>
      <c r="B54" s="1">
        <v>-2.5118170015048236</v>
      </c>
      <c r="H54" s="1">
        <v>-0.64365872276539449</v>
      </c>
      <c r="Q54" s="1">
        <f t="shared" si="1"/>
        <v>-0.32088580031559283</v>
      </c>
      <c r="S54" s="1">
        <f t="shared" si="2"/>
        <v>0.21968513216980629</v>
      </c>
    </row>
    <row r="55" spans="1:19" x14ac:dyDescent="0.2">
      <c r="A55" s="1">
        <v>51</v>
      </c>
      <c r="B55" s="1">
        <v>-0.95519430942658801</v>
      </c>
      <c r="H55" s="1">
        <v>-0.62720937421545386</v>
      </c>
      <c r="Q55" s="1">
        <f t="shared" si="1"/>
        <v>-0.29830737032338173</v>
      </c>
      <c r="S55" s="1">
        <f t="shared" si="2"/>
        <v>0.19932050472279661</v>
      </c>
    </row>
    <row r="56" spans="1:19" x14ac:dyDescent="0.2">
      <c r="A56" s="1">
        <v>52</v>
      </c>
      <c r="B56" s="1">
        <v>-0.10197118172072805</v>
      </c>
      <c r="H56" s="1">
        <v>-0.62111735132930335</v>
      </c>
      <c r="Q56" s="1">
        <f t="shared" si="1"/>
        <v>-0.29022212701527739</v>
      </c>
      <c r="S56" s="1">
        <f t="shared" si="2"/>
        <v>0.19215013514758247</v>
      </c>
    </row>
    <row r="57" spans="1:19" x14ac:dyDescent="0.2">
      <c r="A57" s="1">
        <v>53</v>
      </c>
      <c r="B57" s="1">
        <v>-1.6812416561151622</v>
      </c>
      <c r="H57" s="1">
        <v>-0.48130527829925995</v>
      </c>
      <c r="Q57" s="1">
        <f t="shared" si="1"/>
        <v>-0.14245540934003176</v>
      </c>
      <c r="S57" s="1">
        <f t="shared" si="2"/>
        <v>7.4399827164349841E-2</v>
      </c>
    </row>
    <row r="58" spans="1:19" x14ac:dyDescent="0.2">
      <c r="A58" s="1">
        <v>54</v>
      </c>
      <c r="B58" s="1">
        <v>-0.27774422051152214</v>
      </c>
      <c r="H58" s="1">
        <v>-0.48064612201415002</v>
      </c>
      <c r="Q58" s="1">
        <f t="shared" si="1"/>
        <v>-0.14191670884446292</v>
      </c>
      <c r="S58" s="1">
        <f t="shared" si="2"/>
        <v>7.4024936125287807E-2</v>
      </c>
    </row>
    <row r="59" spans="1:19" x14ac:dyDescent="0.2">
      <c r="A59" s="1">
        <v>55</v>
      </c>
      <c r="B59" s="1">
        <v>1.0769933851406677</v>
      </c>
      <c r="H59" s="1">
        <v>-0.47929677293723216</v>
      </c>
      <c r="Q59" s="1">
        <f t="shared" si="1"/>
        <v>-0.14081818211050545</v>
      </c>
      <c r="S59" s="1">
        <f t="shared" si="2"/>
        <v>7.3261922556720802E-2</v>
      </c>
    </row>
    <row r="60" spans="1:19" x14ac:dyDescent="0.2">
      <c r="A60" s="1">
        <v>56</v>
      </c>
      <c r="B60" s="1">
        <v>-0.62111735132930335</v>
      </c>
      <c r="H60" s="1">
        <v>-0.45889248667663196</v>
      </c>
      <c r="Q60" s="1">
        <f t="shared" si="1"/>
        <v>-0.12489104540628257</v>
      </c>
      <c r="S60" s="1">
        <f t="shared" si="2"/>
        <v>6.2427374158325027E-2</v>
      </c>
    </row>
    <row r="61" spans="1:19" x14ac:dyDescent="0.2">
      <c r="A61" s="1">
        <v>57</v>
      </c>
      <c r="B61" s="1">
        <v>0.9974276053981157</v>
      </c>
      <c r="H61" s="1">
        <v>-0.43468548938108142</v>
      </c>
      <c r="Q61" s="1">
        <f t="shared" si="1"/>
        <v>-0.1076108766593708</v>
      </c>
      <c r="S61" s="1">
        <f t="shared" si="2"/>
        <v>5.118486465267863E-2</v>
      </c>
    </row>
    <row r="62" spans="1:19" x14ac:dyDescent="0.2">
      <c r="A62" s="1">
        <v>58</v>
      </c>
      <c r="B62" s="1">
        <v>1.2326961496000877</v>
      </c>
      <c r="H62" s="1">
        <v>-0.4072639967489522</v>
      </c>
      <c r="Q62" s="1">
        <f t="shared" si="1"/>
        <v>-9.0051655531336303E-2</v>
      </c>
      <c r="S62" s="1">
        <f t="shared" si="2"/>
        <v>4.0363510916933278E-2</v>
      </c>
    </row>
    <row r="63" spans="1:19" x14ac:dyDescent="0.2">
      <c r="A63" s="1">
        <v>59</v>
      </c>
      <c r="B63" s="1">
        <v>-4.1911107473424636E-2</v>
      </c>
      <c r="H63" s="1">
        <v>-0.40569000248069642</v>
      </c>
      <c r="Q63" s="1">
        <f t="shared" si="1"/>
        <v>-8.9106304930172547E-2</v>
      </c>
      <c r="S63" s="1">
        <f t="shared" si="2"/>
        <v>3.9799527200758099E-2</v>
      </c>
    </row>
    <row r="64" spans="1:19" x14ac:dyDescent="0.2">
      <c r="A64" s="1">
        <v>60</v>
      </c>
      <c r="B64" s="1">
        <v>-0.43468548938108142</v>
      </c>
      <c r="H64" s="1">
        <v>-0.39160829601314617</v>
      </c>
      <c r="Q64" s="1">
        <f t="shared" si="1"/>
        <v>-8.0941393780442114E-2</v>
      </c>
      <c r="S64" s="1">
        <f t="shared" si="2"/>
        <v>3.5012858718237685E-2</v>
      </c>
    </row>
    <row r="65" spans="1:19" x14ac:dyDescent="0.2">
      <c r="A65" s="1">
        <v>61</v>
      </c>
      <c r="B65" s="1">
        <v>0.33893491035996703</v>
      </c>
      <c r="H65" s="1">
        <v>-0.38642224353679921</v>
      </c>
      <c r="Q65" s="1">
        <f t="shared" si="1"/>
        <v>-7.8064957071476024E-2</v>
      </c>
      <c r="S65" s="1">
        <f t="shared" si="2"/>
        <v>3.3363748105234882E-2</v>
      </c>
    </row>
    <row r="66" spans="1:19" x14ac:dyDescent="0.2">
      <c r="A66" s="1">
        <v>62</v>
      </c>
      <c r="B66" s="1">
        <v>-2.5645258574513718</v>
      </c>
      <c r="H66" s="1">
        <v>-0.36231870126357535</v>
      </c>
      <c r="Q66" s="1">
        <f t="shared" si="1"/>
        <v>-6.5587784270872793E-2</v>
      </c>
      <c r="S66" s="1">
        <f t="shared" si="2"/>
        <v>2.6450300641331203E-2</v>
      </c>
    </row>
    <row r="67" spans="1:19" x14ac:dyDescent="0.2">
      <c r="A67" s="1">
        <v>63</v>
      </c>
      <c r="B67" s="1">
        <v>1.1466008800198324</v>
      </c>
      <c r="H67" s="1">
        <v>-0.33951869227166753</v>
      </c>
      <c r="Q67" s="1">
        <f t="shared" si="1"/>
        <v>-5.5080585539671566E-2</v>
      </c>
      <c r="S67" s="1">
        <f t="shared" si="2"/>
        <v>2.095711023950431E-2</v>
      </c>
    </row>
    <row r="68" spans="1:19" x14ac:dyDescent="0.2">
      <c r="A68" s="1">
        <v>64</v>
      </c>
      <c r="B68" s="1">
        <v>-0.48064612201415002</v>
      </c>
      <c r="H68" s="1">
        <v>-0.28027000098518329</v>
      </c>
      <c r="Q68" s="1">
        <f t="shared" si="1"/>
        <v>-3.3147991074656089E-2</v>
      </c>
      <c r="S68" s="1">
        <f t="shared" si="2"/>
        <v>1.0648202074894388E-2</v>
      </c>
    </row>
    <row r="69" spans="1:19" x14ac:dyDescent="0.2">
      <c r="A69" s="1">
        <v>65</v>
      </c>
      <c r="B69" s="1">
        <v>1.1227411960135214</v>
      </c>
      <c r="H69" s="1">
        <v>-0.27774422051152214</v>
      </c>
      <c r="Q69" s="1">
        <f t="shared" si="1"/>
        <v>-3.2372216113373667E-2</v>
      </c>
      <c r="S69" s="1">
        <f t="shared" si="2"/>
        <v>1.0317233066580689E-2</v>
      </c>
    </row>
    <row r="70" spans="1:19" x14ac:dyDescent="0.2">
      <c r="A70" s="1">
        <v>66</v>
      </c>
      <c r="B70" s="1">
        <v>-0.77756646987836575</v>
      </c>
      <c r="H70" s="1">
        <v>-0.27272517399978824</v>
      </c>
      <c r="Q70" s="1">
        <f t="shared" ref="Q70:Q133" si="6">POWER(H70-$C$3,3)</f>
        <v>-3.0866764515504831E-2</v>
      </c>
      <c r="S70" s="1">
        <f t="shared" ref="S70:S133" si="7">POWER(H70-$C$3,4)</f>
        <v>9.6825142523553689E-3</v>
      </c>
    </row>
    <row r="71" spans="1:19" x14ac:dyDescent="0.2">
      <c r="A71" s="1">
        <v>67</v>
      </c>
      <c r="B71" s="1">
        <v>1.4033496427146019</v>
      </c>
      <c r="H71" s="1">
        <v>-0.26890029403148219</v>
      </c>
      <c r="Q71" s="1">
        <f t="shared" si="6"/>
        <v>-2.9751374122182827E-2</v>
      </c>
      <c r="S71" s="1">
        <f t="shared" si="7"/>
        <v>9.2188349358729819E-3</v>
      </c>
    </row>
    <row r="72" spans="1:19" x14ac:dyDescent="0.2">
      <c r="A72" s="1">
        <v>68</v>
      </c>
      <c r="B72" s="1">
        <v>2.1512614694074728</v>
      </c>
      <c r="H72" s="1">
        <v>-0.26653117402020143</v>
      </c>
      <c r="Q72" s="1">
        <f t="shared" si="6"/>
        <v>-2.9074166850707652E-2</v>
      </c>
      <c r="S72" s="1">
        <f t="shared" si="7"/>
        <v>8.9401136124093727E-3</v>
      </c>
    </row>
    <row r="73" spans="1:19" x14ac:dyDescent="0.2">
      <c r="A73" s="1">
        <v>69</v>
      </c>
      <c r="B73" s="1">
        <v>0.99193414371256949</v>
      </c>
      <c r="H73" s="1">
        <v>-0.2239505647594342</v>
      </c>
      <c r="Q73" s="1">
        <f t="shared" si="6"/>
        <v>-1.8591252407674022E-2</v>
      </c>
      <c r="S73" s="1">
        <f t="shared" si="7"/>
        <v>4.9250600441066786E-3</v>
      </c>
    </row>
    <row r="74" spans="1:19" x14ac:dyDescent="0.2">
      <c r="A74" s="1">
        <v>70</v>
      </c>
      <c r="B74" s="1">
        <v>0.61105413351469906</v>
      </c>
      <c r="H74" s="1">
        <v>-0.16082969978015171</v>
      </c>
      <c r="Q74" s="1">
        <f t="shared" si="6"/>
        <v>-8.2169600628166917E-3</v>
      </c>
      <c r="S74" s="1">
        <f t="shared" si="7"/>
        <v>1.6581159675486249E-3</v>
      </c>
    </row>
    <row r="75" spans="1:19" x14ac:dyDescent="0.2">
      <c r="A75" s="1">
        <v>71</v>
      </c>
      <c r="B75" s="1">
        <v>1.2673181117861532</v>
      </c>
      <c r="H75" s="1">
        <v>-0.10762130386865465</v>
      </c>
      <c r="Q75" s="1">
        <f t="shared" si="6"/>
        <v>-3.2802864641708783E-3</v>
      </c>
      <c r="S75" s="1">
        <f t="shared" si="7"/>
        <v>4.8739645097253993E-4</v>
      </c>
    </row>
    <row r="76" spans="1:19" x14ac:dyDescent="0.2">
      <c r="A76" s="1">
        <v>72</v>
      </c>
      <c r="B76" s="1">
        <v>2.2931308194529265</v>
      </c>
      <c r="H76" s="1">
        <v>-0.10197118172072805</v>
      </c>
      <c r="Q76" s="1">
        <f t="shared" si="6"/>
        <v>-2.9201219680123395E-3</v>
      </c>
      <c r="S76" s="1">
        <f t="shared" si="7"/>
        <v>4.1738290296932789E-4</v>
      </c>
    </row>
    <row r="77" spans="1:19" x14ac:dyDescent="0.2">
      <c r="A77" s="1">
        <v>73</v>
      </c>
      <c r="B77" s="1">
        <v>0.70208716351771727</v>
      </c>
      <c r="H77" s="1">
        <v>-9.8301484285912011E-2</v>
      </c>
      <c r="Q77" s="1">
        <f t="shared" si="6"/>
        <v>-2.7009318456179604E-3</v>
      </c>
      <c r="S77" s="1">
        <f t="shared" si="7"/>
        <v>3.7614171524222377E-4</v>
      </c>
    </row>
    <row r="78" spans="1:19" x14ac:dyDescent="0.2">
      <c r="A78" s="1">
        <v>74</v>
      </c>
      <c r="B78" s="1">
        <v>-1.8829346117854584</v>
      </c>
      <c r="H78" s="1">
        <v>-9.1918309408356436E-2</v>
      </c>
      <c r="Q78" s="1">
        <f t="shared" si="6"/>
        <v>-2.3463015980928776E-3</v>
      </c>
      <c r="S78" s="1">
        <f t="shared" si="7"/>
        <v>3.1177774759837465E-4</v>
      </c>
    </row>
    <row r="79" spans="1:19" x14ac:dyDescent="0.2">
      <c r="A79" s="1">
        <v>75</v>
      </c>
      <c r="B79" s="1">
        <v>0.12027385309920646</v>
      </c>
      <c r="H79" s="1">
        <v>-6.9184807216515765E-2</v>
      </c>
      <c r="Q79" s="1">
        <f t="shared" si="6"/>
        <v>-1.3363434350381191E-3</v>
      </c>
      <c r="S79" s="1">
        <f t="shared" si="7"/>
        <v>1.4719422771501331E-4</v>
      </c>
    </row>
    <row r="80" spans="1:19" x14ac:dyDescent="0.2">
      <c r="A80" s="1">
        <v>76</v>
      </c>
      <c r="B80" s="1">
        <v>2.2345930119627155</v>
      </c>
      <c r="H80" s="1">
        <v>-6.6425513978174422E-2</v>
      </c>
      <c r="Q80" s="1">
        <f t="shared" si="6"/>
        <v>-1.2384080649811237E-3</v>
      </c>
      <c r="S80" s="1">
        <f t="shared" si="7"/>
        <v>1.3298980896878708E-4</v>
      </c>
    </row>
    <row r="81" spans="1:19" x14ac:dyDescent="0.2">
      <c r="A81" s="1">
        <v>77</v>
      </c>
      <c r="B81" s="1">
        <v>-0.26890029403148219</v>
      </c>
      <c r="H81" s="1">
        <v>-5.1146685109415557E-2</v>
      </c>
      <c r="Q81" s="1">
        <f t="shared" si="6"/>
        <v>-7.8145604104195709E-4</v>
      </c>
      <c r="S81" s="1">
        <f t="shared" si="7"/>
        <v>7.1979043376203531E-5</v>
      </c>
    </row>
    <row r="82" spans="1:19" x14ac:dyDescent="0.2">
      <c r="A82" s="1">
        <v>78</v>
      </c>
      <c r="B82" s="1">
        <v>-0.26653117402020143</v>
      </c>
      <c r="H82" s="1">
        <v>-4.1911107473424636E-2</v>
      </c>
      <c r="Q82" s="1">
        <f t="shared" si="6"/>
        <v>-5.6917260525136341E-4</v>
      </c>
      <c r="S82" s="1">
        <f t="shared" si="7"/>
        <v>4.7169215354518291E-5</v>
      </c>
    </row>
    <row r="83" spans="1:19" x14ac:dyDescent="0.2">
      <c r="A83" s="1">
        <v>79</v>
      </c>
      <c r="B83" s="1">
        <v>-0.39160829601314617</v>
      </c>
      <c r="H83" s="1">
        <v>-2.4264636522275396E-2</v>
      </c>
      <c r="Q83" s="1">
        <f t="shared" si="6"/>
        <v>-2.7751017661838915E-4</v>
      </c>
      <c r="S83" s="1">
        <f t="shared" si="7"/>
        <v>1.8101110452600101E-5</v>
      </c>
    </row>
    <row r="84" spans="1:19" x14ac:dyDescent="0.2">
      <c r="A84" s="1">
        <v>80</v>
      </c>
      <c r="B84" s="1">
        <v>1.2764812709065154</v>
      </c>
      <c r="H84" s="1">
        <v>-7.8182438301155344E-4</v>
      </c>
      <c r="Q84" s="1">
        <f t="shared" si="6"/>
        <v>-7.274160735377437E-5</v>
      </c>
      <c r="S84" s="1">
        <f t="shared" si="7"/>
        <v>3.0365273075875102E-6</v>
      </c>
    </row>
    <row r="85" spans="1:19" x14ac:dyDescent="0.2">
      <c r="A85" s="1">
        <v>81</v>
      </c>
      <c r="B85" s="1">
        <v>-0.91793276624230202</v>
      </c>
      <c r="H85" s="1">
        <v>3.0894625524524599E-2</v>
      </c>
      <c r="Q85" s="1">
        <f t="shared" si="6"/>
        <v>-1.0204091244745471E-6</v>
      </c>
      <c r="S85" s="1">
        <f t="shared" si="7"/>
        <v>1.0273043124392232E-8</v>
      </c>
    </row>
    <row r="86" spans="1:19" x14ac:dyDescent="0.2">
      <c r="A86" s="1">
        <v>82</v>
      </c>
      <c r="B86" s="1">
        <v>0.78181255958043039</v>
      </c>
      <c r="H86" s="1">
        <v>4.6602053771493956E-2</v>
      </c>
      <c r="Q86" s="1">
        <f t="shared" si="6"/>
        <v>1.7939235189233407E-7</v>
      </c>
      <c r="S86" s="1">
        <f t="shared" si="7"/>
        <v>1.0117469368392696E-9</v>
      </c>
    </row>
    <row r="87" spans="1:19" x14ac:dyDescent="0.2">
      <c r="A87" s="1">
        <v>83</v>
      </c>
      <c r="B87" s="1">
        <v>-0.2239505647594342</v>
      </c>
      <c r="H87" s="1">
        <v>7.4907347880071029E-2</v>
      </c>
      <c r="Q87" s="1">
        <f t="shared" si="6"/>
        <v>3.9114085442544619E-5</v>
      </c>
      <c r="S87" s="1">
        <f t="shared" si="7"/>
        <v>1.3277334809204126E-6</v>
      </c>
    </row>
    <row r="88" spans="1:19" x14ac:dyDescent="0.2">
      <c r="A88" s="1">
        <v>84</v>
      </c>
      <c r="B88" s="1">
        <v>-1.5492005331907421</v>
      </c>
      <c r="H88" s="1">
        <v>9.9056705948896706E-2</v>
      </c>
      <c r="Q88" s="1">
        <f t="shared" si="6"/>
        <v>1.9606732612220668E-4</v>
      </c>
      <c r="S88" s="1">
        <f t="shared" si="7"/>
        <v>1.1390434776531591E-5</v>
      </c>
    </row>
    <row r="89" spans="1:19" x14ac:dyDescent="0.2">
      <c r="A89" s="1">
        <v>85</v>
      </c>
      <c r="B89" s="1">
        <v>-0.98675695880956482</v>
      </c>
      <c r="H89" s="1">
        <v>0.12027385309920646</v>
      </c>
      <c r="Q89" s="1">
        <f t="shared" si="6"/>
        <v>4.9889716252614488E-4</v>
      </c>
      <c r="S89" s="1">
        <f t="shared" si="7"/>
        <v>3.9568359533117489E-5</v>
      </c>
    </row>
    <row r="90" spans="1:19" x14ac:dyDescent="0.2">
      <c r="A90" s="1">
        <v>86</v>
      </c>
      <c r="B90" s="1">
        <v>-0.64612390815455001</v>
      </c>
      <c r="H90" s="1">
        <v>0.13587043667939724</v>
      </c>
      <c r="Q90" s="1">
        <f t="shared" si="6"/>
        <v>8.5489295302604372E-4</v>
      </c>
      <c r="S90" s="1">
        <f t="shared" si="7"/>
        <v>8.1136384172161291E-5</v>
      </c>
    </row>
    <row r="91" spans="1:19" x14ac:dyDescent="0.2">
      <c r="A91" s="1">
        <v>87</v>
      </c>
      <c r="B91" s="1">
        <v>-0.8982231065601809</v>
      </c>
      <c r="H91" s="1">
        <v>0.18832065507012885</v>
      </c>
      <c r="Q91" s="1">
        <f t="shared" si="6"/>
        <v>3.1998173875490196E-3</v>
      </c>
      <c r="S91" s="1">
        <f t="shared" si="7"/>
        <v>4.7152015216608649E-4</v>
      </c>
    </row>
    <row r="92" spans="1:19" x14ac:dyDescent="0.2">
      <c r="A92" s="1">
        <v>88</v>
      </c>
      <c r="B92" s="1">
        <v>-0.4072639967489522</v>
      </c>
      <c r="H92" s="1">
        <v>0.25625513444538228</v>
      </c>
      <c r="Q92" s="1">
        <f t="shared" si="6"/>
        <v>9.9790532931638507E-3</v>
      </c>
      <c r="S92" s="1">
        <f t="shared" si="7"/>
        <v>2.1484196834072942E-3</v>
      </c>
    </row>
    <row r="93" spans="1:19" x14ac:dyDescent="0.2">
      <c r="A93" s="1">
        <v>89</v>
      </c>
      <c r="B93" s="1">
        <v>1.1295248896203702</v>
      </c>
      <c r="H93" s="1">
        <v>0.30025751129869604</v>
      </c>
      <c r="Q93" s="1">
        <f t="shared" si="6"/>
        <v>1.743347646094973E-2</v>
      </c>
      <c r="S93" s="1">
        <f t="shared" si="7"/>
        <v>4.5204187355463521E-3</v>
      </c>
    </row>
    <row r="94" spans="1:19" x14ac:dyDescent="0.2">
      <c r="A94" s="1">
        <v>90</v>
      </c>
      <c r="B94" s="1">
        <v>-0.62720937421545386</v>
      </c>
      <c r="H94" s="1">
        <v>0.33241724395338679</v>
      </c>
      <c r="Q94" s="1">
        <f t="shared" si="6"/>
        <v>2.4757953025497693E-2</v>
      </c>
      <c r="S94" s="1">
        <f t="shared" si="7"/>
        <v>7.2158303292583969E-3</v>
      </c>
    </row>
    <row r="95" spans="1:19" x14ac:dyDescent="0.2">
      <c r="A95" s="1">
        <v>91</v>
      </c>
      <c r="B95" s="1">
        <v>0.98303553386358544</v>
      </c>
      <c r="H95" s="1">
        <v>0.33893491035996703</v>
      </c>
      <c r="Q95" s="1">
        <f t="shared" si="6"/>
        <v>2.6456322830220994E-2</v>
      </c>
      <c r="S95" s="1">
        <f t="shared" si="7"/>
        <v>7.8832622647775647E-3</v>
      </c>
    </row>
    <row r="96" spans="1:19" x14ac:dyDescent="0.2">
      <c r="A96" s="1">
        <v>92</v>
      </c>
      <c r="B96" s="1">
        <v>-0.74485546974756289</v>
      </c>
      <c r="H96" s="1">
        <v>0.44129478737886529</v>
      </c>
      <c r="Q96" s="1">
        <f t="shared" si="6"/>
        <v>6.4159775531832552E-2</v>
      </c>
      <c r="S96" s="1">
        <f t="shared" si="7"/>
        <v>2.5685249053189634E-2</v>
      </c>
    </row>
    <row r="97" spans="1:19" x14ac:dyDescent="0.2">
      <c r="A97" s="1">
        <v>93</v>
      </c>
      <c r="B97" s="1">
        <v>3.4875338315032423</v>
      </c>
      <c r="H97" s="1">
        <v>0.46009404286451172</v>
      </c>
      <c r="Q97" s="1">
        <f t="shared" si="6"/>
        <v>7.362952114193802E-2</v>
      </c>
      <c r="S97" s="1">
        <f t="shared" si="7"/>
        <v>3.0860477010406766E-2</v>
      </c>
    </row>
    <row r="98" spans="1:19" x14ac:dyDescent="0.2">
      <c r="A98" s="1">
        <v>94</v>
      </c>
      <c r="B98" s="1">
        <v>0.44129478737886529</v>
      </c>
      <c r="H98" s="1">
        <v>0.47065236685739364</v>
      </c>
      <c r="Q98" s="1">
        <f t="shared" si="6"/>
        <v>7.9335260301647642E-2</v>
      </c>
      <c r="S98" s="1">
        <f t="shared" si="7"/>
        <v>3.4089581371327553E-2</v>
      </c>
    </row>
    <row r="99" spans="1:19" x14ac:dyDescent="0.2">
      <c r="A99" s="1">
        <v>95</v>
      </c>
      <c r="B99" s="1">
        <v>0.33241724395338679</v>
      </c>
      <c r="H99" s="1">
        <v>0.58981186157325283</v>
      </c>
      <c r="Q99" s="1">
        <f t="shared" si="6"/>
        <v>0.16533325129868651</v>
      </c>
      <c r="S99" s="1">
        <f t="shared" si="7"/>
        <v>9.0743099302672436E-2</v>
      </c>
    </row>
    <row r="100" spans="1:19" x14ac:dyDescent="0.2">
      <c r="A100" s="1">
        <v>96</v>
      </c>
      <c r="B100" s="1">
        <v>3.0894625524524599E-2</v>
      </c>
      <c r="H100" s="1">
        <v>0.6099382972024614</v>
      </c>
      <c r="Q100" s="1">
        <f t="shared" si="6"/>
        <v>0.18419679524256913</v>
      </c>
      <c r="S100" s="1">
        <f t="shared" si="7"/>
        <v>0.10480357398691349</v>
      </c>
    </row>
    <row r="101" spans="1:19" x14ac:dyDescent="0.2">
      <c r="A101" s="1">
        <v>97</v>
      </c>
      <c r="B101" s="1">
        <v>1.261793613593909</v>
      </c>
      <c r="H101" s="1">
        <v>0.61044670474075247</v>
      </c>
      <c r="Q101" s="1">
        <f t="shared" si="6"/>
        <v>0.18469100269244318</v>
      </c>
      <c r="S101" s="1">
        <f t="shared" si="7"/>
        <v>0.10517866451181331</v>
      </c>
    </row>
    <row r="102" spans="1:19" x14ac:dyDescent="0.2">
      <c r="A102" s="1">
        <v>98</v>
      </c>
      <c r="B102" s="1">
        <v>-1.0966971331072273</v>
      </c>
      <c r="H102" s="1">
        <v>0.61105413351469906</v>
      </c>
      <c r="Q102" s="1">
        <f t="shared" si="6"/>
        <v>0.18528262370475454</v>
      </c>
      <c r="S102" s="1">
        <f t="shared" si="7"/>
        <v>0.10562812950895827</v>
      </c>
    </row>
    <row r="103" spans="1:19" x14ac:dyDescent="0.2">
      <c r="A103" s="1">
        <v>99</v>
      </c>
      <c r="B103" s="1">
        <v>-2.3391712602460757</v>
      </c>
      <c r="H103" s="1">
        <v>0.62270464695757255</v>
      </c>
      <c r="Q103" s="1">
        <f t="shared" si="6"/>
        <v>0.19687576733409184</v>
      </c>
      <c r="S103" s="1">
        <f t="shared" si="7"/>
        <v>0.1145309909696971</v>
      </c>
    </row>
    <row r="104" spans="1:19" x14ac:dyDescent="0.2">
      <c r="A104" s="1">
        <v>100</v>
      </c>
      <c r="B104" s="1">
        <v>0.79667756835988257</v>
      </c>
      <c r="H104" s="1">
        <v>0.62824096858093981</v>
      </c>
      <c r="Q104" s="1">
        <f t="shared" si="6"/>
        <v>0.20255030666179932</v>
      </c>
      <c r="S104" s="1">
        <f t="shared" si="7"/>
        <v>0.11895349501577612</v>
      </c>
    </row>
    <row r="105" spans="1:19" x14ac:dyDescent="0.2">
      <c r="A105" s="1">
        <v>101</v>
      </c>
      <c r="B105" s="1">
        <v>-1.1038384855055483</v>
      </c>
      <c r="H105" s="1">
        <v>0.62891786001273431</v>
      </c>
      <c r="Q105" s="1">
        <f t="shared" si="6"/>
        <v>0.20325148637432017</v>
      </c>
      <c r="S105" s="1">
        <f t="shared" si="7"/>
        <v>0.11950286216471553</v>
      </c>
    </row>
    <row r="106" spans="1:19" x14ac:dyDescent="0.2">
      <c r="A106" s="1">
        <v>102</v>
      </c>
      <c r="B106" s="1">
        <v>-0.70728799528296804</v>
      </c>
      <c r="H106" s="1">
        <v>0.67671112446987536</v>
      </c>
      <c r="Q106" s="1">
        <f t="shared" si="6"/>
        <v>0.25695490117728881</v>
      </c>
      <c r="S106" s="1">
        <f t="shared" si="7"/>
        <v>0.16335880249679596</v>
      </c>
    </row>
    <row r="107" spans="1:19" x14ac:dyDescent="0.2">
      <c r="A107" s="1">
        <v>103</v>
      </c>
      <c r="B107" s="1">
        <v>0.96198391474899836</v>
      </c>
      <c r="H107" s="1">
        <v>0.70208716351771727</v>
      </c>
      <c r="Q107" s="1">
        <f t="shared" si="6"/>
        <v>0.28896861174891969</v>
      </c>
      <c r="S107" s="1">
        <f t="shared" si="7"/>
        <v>0.19104436339067107</v>
      </c>
    </row>
    <row r="108" spans="1:19" x14ac:dyDescent="0.2">
      <c r="A108" s="1">
        <v>104</v>
      </c>
      <c r="B108" s="1">
        <v>-1.0270600796502549</v>
      </c>
      <c r="H108" s="1">
        <v>0.78181255958043039</v>
      </c>
      <c r="Q108" s="1">
        <f t="shared" si="6"/>
        <v>0.4066225794353438</v>
      </c>
      <c r="S108" s="1">
        <f t="shared" si="7"/>
        <v>0.30124648487826522</v>
      </c>
    </row>
    <row r="109" spans="1:19" x14ac:dyDescent="0.2">
      <c r="A109" s="1">
        <v>105</v>
      </c>
      <c r="B109" s="1">
        <v>-0.64748064687591977</v>
      </c>
      <c r="H109" s="1">
        <v>0.79428923527302686</v>
      </c>
      <c r="Q109" s="1">
        <f t="shared" si="6"/>
        <v>0.42751431735835077</v>
      </c>
      <c r="S109" s="1">
        <f t="shared" si="7"/>
        <v>0.32205809395786178</v>
      </c>
    </row>
    <row r="110" spans="1:19" x14ac:dyDescent="0.2">
      <c r="A110" s="1">
        <v>106</v>
      </c>
      <c r="B110" s="1">
        <v>-2.0140032575000077</v>
      </c>
      <c r="H110" s="1">
        <v>0.79667756835988257</v>
      </c>
      <c r="Q110" s="1">
        <f t="shared" si="6"/>
        <v>0.43159337093977501</v>
      </c>
      <c r="S110" s="1">
        <f t="shared" si="7"/>
        <v>0.32616174403388143</v>
      </c>
    </row>
    <row r="111" spans="1:19" x14ac:dyDescent="0.2">
      <c r="A111" s="1">
        <v>107</v>
      </c>
      <c r="B111" s="1">
        <v>0.18832065507012885</v>
      </c>
      <c r="H111" s="1">
        <v>0.81900020632019732</v>
      </c>
      <c r="Q111" s="1">
        <f t="shared" si="6"/>
        <v>0.47097997230595151</v>
      </c>
      <c r="S111" s="1">
        <f t="shared" si="7"/>
        <v>0.36644031946895217</v>
      </c>
    </row>
    <row r="112" spans="1:19" x14ac:dyDescent="0.2">
      <c r="A112" s="1">
        <v>108</v>
      </c>
      <c r="B112" s="1">
        <v>-0.27272517399978824</v>
      </c>
      <c r="H112" s="1">
        <v>0.94065148914523888</v>
      </c>
      <c r="Q112" s="1">
        <f t="shared" si="6"/>
        <v>0.72824523737531244</v>
      </c>
      <c r="S112" s="1">
        <f t="shared" si="7"/>
        <v>0.65519444117348669</v>
      </c>
    </row>
    <row r="113" spans="1:19" x14ac:dyDescent="0.2">
      <c r="A113" s="1">
        <v>109</v>
      </c>
      <c r="B113" s="1">
        <v>-1.55415750668908</v>
      </c>
      <c r="H113" s="1">
        <v>0.96198391474899836</v>
      </c>
      <c r="Q113" s="1">
        <f t="shared" si="6"/>
        <v>0.781285224642851</v>
      </c>
      <c r="S113" s="1">
        <f t="shared" si="7"/>
        <v>0.71958065863451393</v>
      </c>
    </row>
    <row r="114" spans="1:19" x14ac:dyDescent="0.2">
      <c r="A114" s="1">
        <v>110</v>
      </c>
      <c r="B114" s="1">
        <v>0.62824096858093981</v>
      </c>
      <c r="H114" s="1">
        <v>0.98303553386358544</v>
      </c>
      <c r="Q114" s="1">
        <f t="shared" si="6"/>
        <v>0.83609212920826481</v>
      </c>
      <c r="S114" s="1">
        <f t="shared" si="7"/>
        <v>0.787660100999244</v>
      </c>
    </row>
    <row r="115" spans="1:19" x14ac:dyDescent="0.2">
      <c r="A115" s="1">
        <v>111</v>
      </c>
      <c r="B115" s="1">
        <v>2.2751473807147704</v>
      </c>
      <c r="H115" s="1">
        <v>0.99193414371256949</v>
      </c>
      <c r="Q115" s="1">
        <f t="shared" si="6"/>
        <v>0.86000923544674135</v>
      </c>
      <c r="S115" s="1">
        <f t="shared" si="7"/>
        <v>0.81784465570304787</v>
      </c>
    </row>
    <row r="116" spans="1:19" x14ac:dyDescent="0.2">
      <c r="A116" s="1">
        <v>112</v>
      </c>
      <c r="B116" s="1">
        <v>1.6160561244760174</v>
      </c>
      <c r="H116" s="1">
        <v>0.9974276053981157</v>
      </c>
      <c r="Q116" s="1">
        <f t="shared" si="6"/>
        <v>0.87499949421725287</v>
      </c>
      <c r="S116" s="1">
        <f t="shared" si="7"/>
        <v>0.83690674744458993</v>
      </c>
    </row>
    <row r="117" spans="1:19" x14ac:dyDescent="0.2">
      <c r="A117" s="1">
        <v>113</v>
      </c>
      <c r="B117" s="1">
        <v>-1.4272122825786937</v>
      </c>
      <c r="H117" s="1">
        <v>1.0769933851406677</v>
      </c>
      <c r="Q117" s="1">
        <f t="shared" si="6"/>
        <v>1.1120350771475327</v>
      </c>
      <c r="S117" s="1">
        <f t="shared" si="7"/>
        <v>1.1521030207823582</v>
      </c>
    </row>
    <row r="118" spans="1:19" x14ac:dyDescent="0.2">
      <c r="A118" s="1">
        <v>114</v>
      </c>
      <c r="B118" s="1">
        <v>3.7024365155957639</v>
      </c>
      <c r="H118" s="1">
        <v>1.097184849641053</v>
      </c>
      <c r="Q118" s="1">
        <f t="shared" si="6"/>
        <v>1.178328632628042</v>
      </c>
      <c r="S118" s="1">
        <f t="shared" si="7"/>
        <v>1.2445773925020205</v>
      </c>
    </row>
    <row r="119" spans="1:19" x14ac:dyDescent="0.2">
      <c r="A119" s="1">
        <v>115</v>
      </c>
      <c r="B119" s="1">
        <v>-2.4848832254065201</v>
      </c>
      <c r="H119" s="1">
        <v>1.1227411960135214</v>
      </c>
      <c r="Q119" s="1">
        <f t="shared" si="6"/>
        <v>1.2659473284775946</v>
      </c>
      <c r="S119" s="1">
        <f t="shared" si="7"/>
        <v>1.3694752321548986</v>
      </c>
    </row>
    <row r="120" spans="1:19" x14ac:dyDescent="0.2">
      <c r="A120" s="1">
        <v>116</v>
      </c>
      <c r="B120" s="1">
        <v>-1.3582018709712429</v>
      </c>
      <c r="H120" s="1">
        <v>1.1249640010646544</v>
      </c>
      <c r="Q120" s="1">
        <f t="shared" si="6"/>
        <v>1.2737670590485262</v>
      </c>
      <c r="S120" s="1">
        <f t="shared" si="7"/>
        <v>1.3807657883071078</v>
      </c>
    </row>
    <row r="121" spans="1:19" x14ac:dyDescent="0.2">
      <c r="A121" s="1">
        <v>117</v>
      </c>
      <c r="B121" s="1">
        <v>7.4907347880071029E-2</v>
      </c>
      <c r="H121" s="1">
        <v>1.1295248896203702</v>
      </c>
      <c r="Q121" s="1">
        <f t="shared" si="6"/>
        <v>1.2899127530434282</v>
      </c>
      <c r="S121" s="1">
        <f t="shared" si="7"/>
        <v>1.4041508980176483</v>
      </c>
    </row>
    <row r="122" spans="1:19" x14ac:dyDescent="0.2">
      <c r="A122" s="1">
        <v>118</v>
      </c>
      <c r="B122" s="1">
        <v>0.47065236685739364</v>
      </c>
      <c r="H122" s="1">
        <v>1.1466008800198324</v>
      </c>
      <c r="Q122" s="1">
        <f t="shared" si="6"/>
        <v>1.3515735165267073</v>
      </c>
      <c r="S122" s="1">
        <f t="shared" si="7"/>
        <v>1.4943519610560725</v>
      </c>
    </row>
    <row r="123" spans="1:19" x14ac:dyDescent="0.2">
      <c r="A123" s="1">
        <v>119</v>
      </c>
      <c r="B123" s="1">
        <v>2.9840684874216095</v>
      </c>
      <c r="H123" s="1">
        <v>1.1562754025362665</v>
      </c>
      <c r="Q123" s="1">
        <f t="shared" si="6"/>
        <v>1.3873643531638122</v>
      </c>
      <c r="S123" s="1">
        <f t="shared" si="7"/>
        <v>1.5473457821662477</v>
      </c>
    </row>
    <row r="124" spans="1:19" x14ac:dyDescent="0.2">
      <c r="A124" s="1">
        <v>120</v>
      </c>
      <c r="B124" s="1">
        <v>0.25625513444538228</v>
      </c>
      <c r="H124" s="1">
        <v>1.1960316896875156</v>
      </c>
      <c r="Q124" s="1">
        <f t="shared" si="6"/>
        <v>1.5410770014659849</v>
      </c>
      <c r="S124" s="1">
        <f t="shared" si="7"/>
        <v>1.7800510282678039</v>
      </c>
    </row>
    <row r="125" spans="1:19" x14ac:dyDescent="0.2">
      <c r="A125" s="1">
        <v>121</v>
      </c>
      <c r="B125" s="1">
        <v>0.6099382972024614</v>
      </c>
      <c r="H125" s="1">
        <v>1.2326961496000877</v>
      </c>
      <c r="Q125" s="1">
        <f t="shared" si="6"/>
        <v>1.6925360840249586</v>
      </c>
      <c r="S125" s="1">
        <f t="shared" si="7"/>
        <v>2.0170527151280888</v>
      </c>
    </row>
    <row r="126" spans="1:19" x14ac:dyDescent="0.2">
      <c r="A126" s="1">
        <v>122</v>
      </c>
      <c r="B126" s="1">
        <v>0.58981186157325283</v>
      </c>
      <c r="H126" s="1">
        <v>1.257755911865388</v>
      </c>
      <c r="Q126" s="1">
        <f t="shared" si="6"/>
        <v>1.8015688826357608</v>
      </c>
      <c r="S126" s="1">
        <f t="shared" si="7"/>
        <v>2.1921376909409429</v>
      </c>
    </row>
    <row r="127" spans="1:19" x14ac:dyDescent="0.2">
      <c r="A127" s="1">
        <v>123</v>
      </c>
      <c r="B127" s="1">
        <v>-0.45889248667663196</v>
      </c>
      <c r="H127" s="1">
        <v>1.261793613593909</v>
      </c>
      <c r="Q127" s="1">
        <f t="shared" si="6"/>
        <v>1.819562966112088</v>
      </c>
      <c r="S127" s="1">
        <f t="shared" si="7"/>
        <v>2.2213796311296798</v>
      </c>
    </row>
    <row r="128" spans="1:19" x14ac:dyDescent="0.2">
      <c r="A128" s="1">
        <v>124</v>
      </c>
      <c r="B128" s="1">
        <v>1.7814452348829946</v>
      </c>
      <c r="H128" s="1">
        <v>1.2673181117861532</v>
      </c>
      <c r="Q128" s="1">
        <f t="shared" si="6"/>
        <v>1.8443765369977023</v>
      </c>
      <c r="S128" s="1">
        <f t="shared" si="7"/>
        <v>2.2618620728368484</v>
      </c>
    </row>
    <row r="129" spans="1:19" x14ac:dyDescent="0.2">
      <c r="A129" s="1">
        <v>125</v>
      </c>
      <c r="B129" s="1">
        <v>9.9056705948896706E-2</v>
      </c>
      <c r="H129" s="1">
        <v>1.2764812709065154</v>
      </c>
      <c r="Q129" s="1">
        <f t="shared" si="6"/>
        <v>1.8860289809370296</v>
      </c>
      <c r="S129" s="1">
        <f t="shared" si="7"/>
        <v>2.330224777430812</v>
      </c>
    </row>
    <row r="130" spans="1:19" x14ac:dyDescent="0.2">
      <c r="A130" s="1">
        <v>126</v>
      </c>
      <c r="B130" s="1">
        <v>1.8059345165966079</v>
      </c>
      <c r="H130" s="1">
        <v>1.306208332607639</v>
      </c>
      <c r="Q130" s="1">
        <f t="shared" si="6"/>
        <v>2.0254664657272445</v>
      </c>
      <c r="S130" s="1">
        <f t="shared" si="7"/>
        <v>2.562713615925226</v>
      </c>
    </row>
    <row r="131" spans="1:19" x14ac:dyDescent="0.2">
      <c r="A131" s="1">
        <v>127</v>
      </c>
      <c r="B131" s="1">
        <v>-0.74572005814843578</v>
      </c>
      <c r="H131" s="1">
        <v>1.3612138900498394</v>
      </c>
      <c r="Q131" s="1">
        <f t="shared" si="6"/>
        <v>2.3012838939764033</v>
      </c>
      <c r="S131" s="1">
        <f t="shared" si="7"/>
        <v>3.0382739542122716</v>
      </c>
    </row>
    <row r="132" spans="1:19" x14ac:dyDescent="0.2">
      <c r="A132" s="1">
        <v>128</v>
      </c>
      <c r="B132" s="1">
        <v>-1.0529149676585803</v>
      </c>
      <c r="H132" s="1">
        <v>1.3868648238712922</v>
      </c>
      <c r="Q132" s="1">
        <f t="shared" si="6"/>
        <v>2.4380405298391596</v>
      </c>
      <c r="S132" s="1">
        <f t="shared" si="7"/>
        <v>3.2813651503526162</v>
      </c>
    </row>
    <row r="133" spans="1:19" x14ac:dyDescent="0.2">
      <c r="A133" s="1">
        <v>129</v>
      </c>
      <c r="B133" s="1">
        <v>-9.1918309408356436E-2</v>
      </c>
      <c r="H133" s="1">
        <v>1.4033496427146019</v>
      </c>
      <c r="Q133" s="1">
        <f t="shared" si="6"/>
        <v>2.5287267207142219</v>
      </c>
      <c r="S133" s="1">
        <f t="shared" si="7"/>
        <v>3.4451055346493673</v>
      </c>
    </row>
    <row r="134" spans="1:19" x14ac:dyDescent="0.2">
      <c r="A134" s="1">
        <v>130</v>
      </c>
      <c r="B134" s="1">
        <v>1.1249640010646544</v>
      </c>
      <c r="H134" s="1">
        <v>1.5706718841101974</v>
      </c>
      <c r="Q134" s="1">
        <f t="shared" ref="Q134:Q157" si="8">POWER(H134-$C$3,3)</f>
        <v>3.5795385973501554</v>
      </c>
      <c r="S134" s="1">
        <f t="shared" ref="S134:S154" si="9">POWER(H134-$C$3,4)</f>
        <v>5.4756548630875086</v>
      </c>
    </row>
    <row r="135" spans="1:19" x14ac:dyDescent="0.2">
      <c r="A135" s="1">
        <v>131</v>
      </c>
      <c r="B135" s="1">
        <v>-1.2837999747716822</v>
      </c>
      <c r="H135" s="1">
        <v>1.5799266748217633</v>
      </c>
      <c r="Q135" s="1">
        <f t="shared" si="8"/>
        <v>3.6449014104928494</v>
      </c>
      <c r="S135" s="1">
        <f t="shared" si="9"/>
        <v>5.6093737911619002</v>
      </c>
    </row>
    <row r="136" spans="1:19" x14ac:dyDescent="0.2">
      <c r="A136" s="1">
        <v>132</v>
      </c>
      <c r="B136" s="1">
        <v>4.6602053771493956E-2</v>
      </c>
      <c r="H136" s="1">
        <v>1.6160561244760174</v>
      </c>
      <c r="Q136" s="1">
        <f t="shared" si="8"/>
        <v>3.9076834035247505</v>
      </c>
      <c r="S136" s="1">
        <f t="shared" si="9"/>
        <v>6.154968394299229</v>
      </c>
    </row>
    <row r="137" spans="1:19" x14ac:dyDescent="0.2">
      <c r="A137" s="1">
        <v>133</v>
      </c>
      <c r="B137" s="1">
        <v>1.1562754025362665</v>
      </c>
      <c r="H137" s="1">
        <v>1.6878450423973845</v>
      </c>
      <c r="Q137" s="1">
        <f t="shared" si="8"/>
        <v>4.4667136963247946</v>
      </c>
      <c r="S137" s="1">
        <f t="shared" si="9"/>
        <v>7.3561541559590511</v>
      </c>
    </row>
    <row r="138" spans="1:19" x14ac:dyDescent="0.2">
      <c r="A138" s="1">
        <v>134</v>
      </c>
      <c r="B138" s="1">
        <v>-1.9769013306358829</v>
      </c>
      <c r="H138" s="1">
        <v>1.7287629816564731</v>
      </c>
      <c r="Q138" s="1">
        <f t="shared" si="8"/>
        <v>4.8079899626996303</v>
      </c>
      <c r="S138" s="1">
        <f t="shared" si="9"/>
        <v>8.114929225400429</v>
      </c>
    </row>
    <row r="139" spans="1:19" x14ac:dyDescent="0.2">
      <c r="A139" s="1">
        <v>135</v>
      </c>
      <c r="B139" s="1">
        <v>-6.6425513978174422E-2</v>
      </c>
      <c r="H139" s="1">
        <v>1.7814452348829946</v>
      </c>
      <c r="Q139" s="1">
        <f t="shared" si="8"/>
        <v>5.2724125427151955</v>
      </c>
      <c r="S139" s="1">
        <f t="shared" si="9"/>
        <v>9.1765445924477849</v>
      </c>
    </row>
    <row r="140" spans="1:19" x14ac:dyDescent="0.2">
      <c r="A140" s="1">
        <v>136</v>
      </c>
      <c r="B140" s="1">
        <v>-2.2275580704445019</v>
      </c>
      <c r="H140" s="1">
        <v>1.8059345165966079</v>
      </c>
      <c r="Q140" s="1">
        <f t="shared" si="8"/>
        <v>5.4981134248267223</v>
      </c>
      <c r="S140" s="1">
        <f t="shared" si="9"/>
        <v>9.7040179976580365</v>
      </c>
    </row>
    <row r="141" spans="1:19" x14ac:dyDescent="0.2">
      <c r="A141" s="1">
        <v>137</v>
      </c>
      <c r="B141" s="1">
        <v>1.6878450423973845</v>
      </c>
      <c r="H141" s="1">
        <v>1.9444755707809236</v>
      </c>
      <c r="Q141" s="1">
        <f t="shared" si="8"/>
        <v>6.8971202268861989</v>
      </c>
      <c r="S141" s="1">
        <f t="shared" si="9"/>
        <v>13.128760583466361</v>
      </c>
    </row>
    <row r="142" spans="1:19" x14ac:dyDescent="0.2">
      <c r="A142" s="1">
        <v>138</v>
      </c>
      <c r="B142" s="1">
        <v>-0.7023650141491089</v>
      </c>
      <c r="H142" s="1">
        <v>2.1512614694074728</v>
      </c>
      <c r="Q142" s="1">
        <f t="shared" si="8"/>
        <v>9.3979287216154788</v>
      </c>
      <c r="S142" s="1">
        <f t="shared" si="9"/>
        <v>19.832442131117631</v>
      </c>
    </row>
    <row r="143" spans="1:19" x14ac:dyDescent="0.2">
      <c r="A143" s="1">
        <v>139</v>
      </c>
      <c r="B143" s="1">
        <v>0.62891786001273431</v>
      </c>
      <c r="H143" s="1">
        <v>2.2345930119627155</v>
      </c>
      <c r="Q143" s="1">
        <f t="shared" si="8"/>
        <v>10.555786895092924</v>
      </c>
      <c r="S143" s="1">
        <f t="shared" si="9"/>
        <v>23.155499395502034</v>
      </c>
    </row>
    <row r="144" spans="1:19" x14ac:dyDescent="0.2">
      <c r="A144" s="1">
        <v>140</v>
      </c>
      <c r="B144" s="1">
        <v>-1.9578005776565988</v>
      </c>
      <c r="H144" s="1">
        <v>2.2751473807147704</v>
      </c>
      <c r="Q144" s="1">
        <f t="shared" si="8"/>
        <v>11.152121734533878</v>
      </c>
      <c r="S144" s="1">
        <f t="shared" si="9"/>
        <v>24.915905131748669</v>
      </c>
    </row>
    <row r="145" spans="1:19" x14ac:dyDescent="0.2">
      <c r="A145" s="1">
        <v>141</v>
      </c>
      <c r="B145" s="1">
        <v>1.1960316896875156</v>
      </c>
      <c r="H145" s="1">
        <v>2.2931308194529265</v>
      </c>
      <c r="Q145" s="1">
        <f t="shared" si="8"/>
        <v>11.423592688608903</v>
      </c>
      <c r="S145" s="1">
        <f t="shared" si="9"/>
        <v>25.727856994083538</v>
      </c>
    </row>
    <row r="146" spans="1:19" x14ac:dyDescent="0.2">
      <c r="A146" s="1">
        <v>142</v>
      </c>
      <c r="B146" s="1">
        <v>-0.90662661023088731</v>
      </c>
      <c r="H146" s="1">
        <v>2.4642395146656781</v>
      </c>
      <c r="Q146" s="1">
        <f t="shared" si="8"/>
        <v>14.230145840067925</v>
      </c>
      <c r="S146" s="1">
        <f t="shared" si="9"/>
        <v>34.483589622770381</v>
      </c>
    </row>
    <row r="147" spans="1:19" x14ac:dyDescent="0.2">
      <c r="A147" s="1">
        <v>143</v>
      </c>
      <c r="B147" s="1">
        <v>-0.64365872276539449</v>
      </c>
      <c r="H147" s="1">
        <v>2.5278259272454306</v>
      </c>
      <c r="Q147" s="1">
        <f t="shared" si="8"/>
        <v>15.379986862985504</v>
      </c>
      <c r="S147" s="1">
        <f t="shared" si="9"/>
        <v>38.247931481170866</v>
      </c>
    </row>
    <row r="148" spans="1:19" x14ac:dyDescent="0.2">
      <c r="A148" s="1">
        <v>144</v>
      </c>
      <c r="B148" s="1">
        <v>-2.4264636522275396E-2</v>
      </c>
      <c r="H148" s="1">
        <v>2.5880190150928684</v>
      </c>
      <c r="Q148" s="1">
        <f t="shared" si="8"/>
        <v>16.524027094839653</v>
      </c>
      <c r="S148" s="1">
        <f t="shared" si="9"/>
        <v>42.087635852733044</v>
      </c>
    </row>
    <row r="149" spans="1:19" x14ac:dyDescent="0.2">
      <c r="A149" s="1">
        <v>145</v>
      </c>
      <c r="B149" s="1">
        <v>-0.47929677293723216</v>
      </c>
      <c r="H149" s="1">
        <v>2.848903022822924</v>
      </c>
      <c r="Q149" s="1">
        <f t="shared" si="8"/>
        <v>22.139298369662576</v>
      </c>
      <c r="S149" s="1">
        <f t="shared" si="9"/>
        <v>62.165839718404577</v>
      </c>
    </row>
    <row r="150" spans="1:19" x14ac:dyDescent="0.2">
      <c r="A150" s="1">
        <v>146</v>
      </c>
      <c r="B150" s="1">
        <v>-0.65202084442717023</v>
      </c>
      <c r="H150" s="1">
        <v>2.9840684874216095</v>
      </c>
      <c r="Q150" s="1">
        <f t="shared" si="8"/>
        <v>25.492817696314464</v>
      </c>
      <c r="S150" s="1">
        <f t="shared" si="9"/>
        <v>75.028072089379165</v>
      </c>
    </row>
    <row r="151" spans="1:19" x14ac:dyDescent="0.2">
      <c r="A151" s="1">
        <v>147</v>
      </c>
      <c r="B151" s="1">
        <v>-0.33951869227166753</v>
      </c>
      <c r="H151" s="1">
        <v>3.2029674912337214</v>
      </c>
      <c r="Q151" s="1">
        <f t="shared" si="8"/>
        <v>31.614606288306451</v>
      </c>
      <c r="S151" s="1">
        <f t="shared" si="9"/>
        <v>99.965552417548196</v>
      </c>
    </row>
    <row r="152" spans="1:19" x14ac:dyDescent="0.2">
      <c r="A152" s="1">
        <v>148</v>
      </c>
      <c r="B152" s="1">
        <v>-1.9097028598480392</v>
      </c>
      <c r="H152" s="1">
        <v>3.4875338315032423</v>
      </c>
      <c r="Q152" s="1">
        <f t="shared" si="8"/>
        <v>40.941328202988053</v>
      </c>
      <c r="S152" s="1">
        <f t="shared" si="9"/>
        <v>141.10722040996271</v>
      </c>
    </row>
    <row r="153" spans="1:19" x14ac:dyDescent="0.2">
      <c r="A153" s="1">
        <v>149</v>
      </c>
      <c r="B153" s="1">
        <v>1.5706718841101974</v>
      </c>
      <c r="H153" s="1">
        <v>3.7024365155957639</v>
      </c>
      <c r="Q153" s="1">
        <f t="shared" si="8"/>
        <v>49.087167963642464</v>
      </c>
      <c r="S153" s="1">
        <f t="shared" si="9"/>
        <v>179.73140480751667</v>
      </c>
    </row>
    <row r="154" spans="1:19" x14ac:dyDescent="0.2">
      <c r="A154" s="1">
        <v>150</v>
      </c>
      <c r="B154" s="1">
        <v>0.62270464695757255</v>
      </c>
      <c r="H154" s="1">
        <v>4.2530300561338663</v>
      </c>
      <c r="Q154" s="1">
        <f t="shared" si="8"/>
        <v>74.728467772121164</v>
      </c>
      <c r="S154" s="1">
        <f t="shared" si="9"/>
        <v>314.76137716790686</v>
      </c>
    </row>
    <row r="155" spans="1:19" x14ac:dyDescent="0.2">
      <c r="P155" s="2" t="s">
        <v>17</v>
      </c>
      <c r="Q155" s="1">
        <f>SUM(Q5:Q154)</f>
        <v>108.84772046273238</v>
      </c>
      <c r="S155" s="1">
        <f>SUM(S5:S154)</f>
        <v>1877.3984393069347</v>
      </c>
    </row>
  </sheetData>
  <sortState xmlns:xlrd2="http://schemas.microsoft.com/office/spreadsheetml/2017/richdata2" ref="H5:H154">
    <sortCondition ref="H5:H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Білозор Дмитро</dc:creator>
  <cp:lastModifiedBy>Білозор Дмитро</cp:lastModifiedBy>
  <dcterms:created xsi:type="dcterms:W3CDTF">2025-11-14T06:26:27Z</dcterms:created>
  <dcterms:modified xsi:type="dcterms:W3CDTF">2025-11-21T08:06:32Z</dcterms:modified>
</cp:coreProperties>
</file>